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appings" sheetId="2" state="visible" r:id="rId4"/>
    <sheet name="Crosswalk" sheetId="3" state="visible" r:id="rId5"/>
    <sheet name="Gaps" sheetId="4" state="visible" r:id="rId6"/>
  </sheets>
  <definedNames>
    <definedName function="false" hidden="true" localSheetId="1" name="_xlnm._FilterDatabase" vbProcedure="false">Mappings!$A$1:$H$45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<sst xmlns="http://schemas.openxmlformats.org/spreadsheetml/2006/main" count="473" uniqueCount="244">
  <si>
    <t xml:space="preserve">Policy-to-Control Crosswalk Summary</t>
  </si>
  <si>
    <t xml:space="preserve">AI-assisted draft. A qualified human must review every mapping before use as audit evidence. Counts below are live Excel formulas over the Mappings sheet.</t>
  </si>
  <si>
    <t xml:space="preserve">Framework</t>
  </si>
  <si>
    <t xml:space="preserve">Controls in framework</t>
  </si>
  <si>
    <t xml:space="preserve">Mappings</t>
  </si>
  <si>
    <t xml:space="preserve">Full</t>
  </si>
  <si>
    <t xml:space="preserve">Partial</t>
  </si>
  <si>
    <t xml:space="preserve">NIST_SP_800-53_R5</t>
  </si>
  <si>
    <t xml:space="preserve">ISO_IEC_27001_2022</t>
  </si>
  <si>
    <t xml:space="preserve">SOC2_TSC_2017</t>
  </si>
  <si>
    <t xml:space="preserve">statement_id</t>
  </si>
  <si>
    <t xml:space="preserve">statement_text</t>
  </si>
  <si>
    <t xml:space="preserve">framework_id</t>
  </si>
  <si>
    <t xml:space="preserve">control_id</t>
  </si>
  <si>
    <t xml:space="preserve">control_title</t>
  </si>
  <si>
    <t xml:space="preserve">coverage</t>
  </si>
  <si>
    <t xml:space="preserve">confidence</t>
  </si>
  <si>
    <t xml:space="preserve">rationale</t>
  </si>
  <si>
    <t xml:space="preserve">P1</t>
  </si>
  <si>
    <t xml:space="preserve">All employees must complete security awareness training within 30 days of their start date and repeat the training every twelve months.</t>
  </si>
  <si>
    <t xml:space="preserve">A.6.3</t>
  </si>
  <si>
    <t xml:space="preserve">Information security awareness, education and training</t>
  </si>
  <si>
    <t xml:space="preserve">full</t>
  </si>
  <si>
    <t xml:space="preserve">Requires security awareness training on hire and annually.</t>
  </si>
  <si>
    <t xml:space="preserve">AT-2</t>
  </si>
  <si>
    <t xml:space="preserve">Literacy Training and Awareness</t>
  </si>
  <si>
    <t xml:space="preserve">Requires awareness training on hire and annually.</t>
  </si>
  <si>
    <t xml:space="preserve">CC1.4</t>
  </si>
  <si>
    <t xml:space="preserve">Commitment to competence</t>
  </si>
  <si>
    <t xml:space="preserve">Develops competent personnel via required training.</t>
  </si>
  <si>
    <t xml:space="preserve">P2</t>
  </si>
  <si>
    <t xml:space="preserve">Access to production systems is granted on a least-privilege basis. Requests must be approved by the system owner, and access rights are reviewed every quarter.</t>
  </si>
  <si>
    <t xml:space="preserve">A.5.15</t>
  </si>
  <si>
    <t xml:space="preserve">Access control</t>
  </si>
  <si>
    <t xml:space="preserve">Defines least-privilege access control rules.</t>
  </si>
  <si>
    <t xml:space="preserve">AC-2</t>
  </si>
  <si>
    <t xml:space="preserve">Account Management</t>
  </si>
  <si>
    <t xml:space="preserve">Requires owner approval and quarterly access review.</t>
  </si>
  <si>
    <t xml:space="preserve">AC-6</t>
  </si>
  <si>
    <t xml:space="preserve">Least Privilege</t>
  </si>
  <si>
    <t xml:space="preserve">States access is granted on a least-privilege basis.</t>
  </si>
  <si>
    <t xml:space="preserve">CC6.1</t>
  </si>
  <si>
    <t xml:space="preserve">Logical access security measures</t>
  </si>
  <si>
    <t xml:space="preserve">Implements least-privilege logical access measures.</t>
  </si>
  <si>
    <t xml:space="preserve">CC6.2</t>
  </si>
  <si>
    <t xml:space="preserve">User registration and authorization</t>
  </si>
  <si>
    <t xml:space="preserve">Requires owner authorization before granting access.</t>
  </si>
  <si>
    <t xml:space="preserve">CC6.3</t>
  </si>
  <si>
    <t xml:space="preserve">Access based on roles and responsibilities</t>
  </si>
  <si>
    <t xml:space="preserve">partial</t>
  </si>
  <si>
    <t xml:space="preserve">Requires quarterly review of access rights.</t>
  </si>
  <si>
    <t xml:space="preserve">P3</t>
  </si>
  <si>
    <t xml:space="preserve">Multi-factor authentication is required for all remote access to the corporate network and for any access to systems holding regulated data.</t>
  </si>
  <si>
    <t xml:space="preserve">A.5.17</t>
  </si>
  <si>
    <t xml:space="preserve">Authentication information</t>
  </si>
  <si>
    <t xml:space="preserve">Touches handling of authentication information.</t>
  </si>
  <si>
    <t xml:space="preserve">A.8.5</t>
  </si>
  <si>
    <t xml:space="preserve">Secure authentication</t>
  </si>
  <si>
    <t xml:space="preserve">Requires MFA, a secure authentication mechanism.</t>
  </si>
  <si>
    <t xml:space="preserve">AC-17</t>
  </si>
  <si>
    <t xml:space="preserve">Remote Access</t>
  </si>
  <si>
    <t xml:space="preserve">Requires MFA specifically for remote access.</t>
  </si>
  <si>
    <t xml:space="preserve">IA-2</t>
  </si>
  <si>
    <t xml:space="preserve">Identification and Authentication (Organizational Users)</t>
  </si>
  <si>
    <t xml:space="preserve">Requires MFA to authenticate users for access.</t>
  </si>
  <si>
    <t xml:space="preserve">Requires MFA as a logical access measure.</t>
  </si>
  <si>
    <t xml:space="preserve">CC6.6</t>
  </si>
  <si>
    <t xml:space="preserve">Protection against external threats</t>
  </si>
  <si>
    <t xml:space="preserve">Protects remote access from outside the boundary.</t>
  </si>
  <si>
    <t xml:space="preserve">P4</t>
  </si>
  <si>
    <t xml:space="preserve">Passwords must be at least 14 characters, are rotated at least annually, and are stored only as salted hashes. Shared credentials are prohibited.</t>
  </si>
  <si>
    <t xml:space="preserve">Governs passwords as authentication information.</t>
  </si>
  <si>
    <t xml:space="preserve">IA-5</t>
  </si>
  <si>
    <t xml:space="preserve">Authenticator Management</t>
  </si>
  <si>
    <t xml:space="preserve">Sets password length, rotation, and hashed storage.</t>
  </si>
  <si>
    <t xml:space="preserve">Sets credential strength and storage requirements.</t>
  </si>
  <si>
    <t xml:space="preserve">P5</t>
  </si>
  <si>
    <t xml:space="preserve">All customer data is encrypted at rest using AES-256 and encrypted in transit using TLS 1.2 or higher.</t>
  </si>
  <si>
    <t xml:space="preserve">A.8.20</t>
  </si>
  <si>
    <t xml:space="preserve">Networks security</t>
  </si>
  <si>
    <t xml:space="preserve">Mentions the corporate network in passing.</t>
  </si>
  <si>
    <t xml:space="preserve">A.8.24</t>
  </si>
  <si>
    <t xml:space="preserve">Use of cryptography</t>
  </si>
  <si>
    <t xml:space="preserve">Specifies cryptography for data at rest and in transit.</t>
  </si>
  <si>
    <t xml:space="preserve">SC-13</t>
  </si>
  <si>
    <t xml:space="preserve">Cryptographic Protection</t>
  </si>
  <si>
    <t xml:space="preserve">Specifies approved cryptography (AES-256, TLS).</t>
  </si>
  <si>
    <t xml:space="preserve">SC-28</t>
  </si>
  <si>
    <t xml:space="preserve">Protection of Information at Rest</t>
  </si>
  <si>
    <t xml:space="preserve">Requires customer data encrypted at rest.</t>
  </si>
  <si>
    <t xml:space="preserve">SC-7</t>
  </si>
  <si>
    <t xml:space="preserve">Boundary Protection</t>
  </si>
  <si>
    <t xml:space="preserve">Mentions the network, loosely related to boundaries.</t>
  </si>
  <si>
    <t xml:space="preserve">C1.2</t>
  </si>
  <si>
    <t xml:space="preserve">Protection of confidential information</t>
  </si>
  <si>
    <t xml:space="preserve">Protects confidential customer data at rest.</t>
  </si>
  <si>
    <t xml:space="preserve">CC6.7</t>
  </si>
  <si>
    <t xml:space="preserve">Restriction of information in transit</t>
  </si>
  <si>
    <t xml:space="preserve">Protects data in transit via TLS.</t>
  </si>
  <si>
    <t xml:space="preserve">P6</t>
  </si>
  <si>
    <t xml:space="preserve">Security-relevant logs from production systems are collected centrally, retained for at least one year, and reviewed weekly for anomalous activity.</t>
  </si>
  <si>
    <t xml:space="preserve">A.8.15</t>
  </si>
  <si>
    <t xml:space="preserve">Logging</t>
  </si>
  <si>
    <t xml:space="preserve">Requires central log collection and retention.</t>
  </si>
  <si>
    <t xml:space="preserve">A.8.16</t>
  </si>
  <si>
    <t xml:space="preserve">Monitoring activities</t>
  </si>
  <si>
    <t xml:space="preserve">Requires weekly review for anomalous activity.</t>
  </si>
  <si>
    <t xml:space="preserve">AU-2</t>
  </si>
  <si>
    <t xml:space="preserve">Event Logging</t>
  </si>
  <si>
    <t xml:space="preserve">Implies which events are logged centrally.</t>
  </si>
  <si>
    <t xml:space="preserve">AU-6</t>
  </si>
  <si>
    <t xml:space="preserve">Audit Record Review, Analysis, and Reporting</t>
  </si>
  <si>
    <t xml:space="preserve">Requires weekly review of logs for anomalies.</t>
  </si>
  <si>
    <t xml:space="preserve">CC4.1</t>
  </si>
  <si>
    <t xml:space="preserve">Monitoring of controls</t>
  </si>
  <si>
    <t xml:space="preserve">Loosely resembles monitoring of controls.</t>
  </si>
  <si>
    <t xml:space="preserve">CC7.2</t>
  </si>
  <si>
    <t xml:space="preserve">Monitoring for anomalies</t>
  </si>
  <si>
    <t xml:space="preserve">Monitors logs for anomalous activity.</t>
  </si>
  <si>
    <t xml:space="preserve">P7</t>
  </si>
  <si>
    <t xml:space="preserve">Suspected security incidents must be reported to the security team within one hour of discovery. The team follows a documented incident response runbook.</t>
  </si>
  <si>
    <t xml:space="preserve">A.5.24</t>
  </si>
  <si>
    <t xml:space="preserve">Information security incident management planning and preparation</t>
  </si>
  <si>
    <t xml:space="preserve">References a documented incident response runbook.</t>
  </si>
  <si>
    <t xml:space="preserve">A.5.26</t>
  </si>
  <si>
    <t xml:space="preserve">Response to information security incidents</t>
  </si>
  <si>
    <t xml:space="preserve">Requires response to suspected incidents.</t>
  </si>
  <si>
    <t xml:space="preserve">IR-6</t>
  </si>
  <si>
    <t xml:space="preserve">Incident Reporting</t>
  </si>
  <si>
    <t xml:space="preserve">Requires incident reporting within one hour.</t>
  </si>
  <si>
    <t xml:space="preserve">CC7.3</t>
  </si>
  <si>
    <t xml:space="preserve">Evaluation of security events</t>
  </si>
  <si>
    <t xml:space="preserve">Evaluates and reports suspected incidents.</t>
  </si>
  <si>
    <t xml:space="preserve">CC7.4</t>
  </si>
  <si>
    <t xml:space="preserve">Incident response</t>
  </si>
  <si>
    <t xml:space="preserve">Executes a documented incident response runbook.</t>
  </si>
  <si>
    <t xml:space="preserve">P8</t>
  </si>
  <si>
    <t xml:space="preserve">Vulnerability scans of internet-facing systems are performed monthly, and critical findings are remediated within fifteen days.</t>
  </si>
  <si>
    <t xml:space="preserve">A.8.8</t>
  </si>
  <si>
    <t xml:space="preserve">Management of technical vulnerabilities</t>
  </si>
  <si>
    <t xml:space="preserve">Requires vulnerability scanning and remediation.</t>
  </si>
  <si>
    <t xml:space="preserve">RA-5</t>
  </si>
  <si>
    <t xml:space="preserve">Vulnerability Monitoring and Scanning</t>
  </si>
  <si>
    <t xml:space="preserve">Requires monthly vulnerability scanning.</t>
  </si>
  <si>
    <t xml:space="preserve">SI-2</t>
  </si>
  <si>
    <t xml:space="preserve">Flaw Remediation</t>
  </si>
  <si>
    <t xml:space="preserve">Requires remediation of critical findings.</t>
  </si>
  <si>
    <t xml:space="preserve">CC7.1</t>
  </si>
  <si>
    <t xml:space="preserve">Detection of vulnerabilities</t>
  </si>
  <si>
    <t xml:space="preserve">Detects vulnerabilities via monthly scanning.</t>
  </si>
  <si>
    <t xml:space="preserve">P10</t>
  </si>
  <si>
    <t xml:space="preserve">Backups of critical systems are taken daily, encrypted, and tested for restorability on a quarterly basis.</t>
  </si>
  <si>
    <t xml:space="preserve">A.8.13</t>
  </si>
  <si>
    <t xml:space="preserve">Information backup</t>
  </si>
  <si>
    <t xml:space="preserve">Requires daily, tested information backups.</t>
  </si>
  <si>
    <t xml:space="preserve">CP-10</t>
  </si>
  <si>
    <t xml:space="preserve">System Recovery and Reconstitution</t>
  </si>
  <si>
    <t xml:space="preserve">Requires quarterly restorability testing.</t>
  </si>
  <si>
    <t xml:space="preserve">CP-9</t>
  </si>
  <si>
    <t xml:space="preserve">System Backup</t>
  </si>
  <si>
    <t xml:space="preserve">Requires daily encrypted backups.</t>
  </si>
  <si>
    <t xml:space="preserve">A1.2</t>
  </si>
  <si>
    <t xml:space="preserve">Backup and recovery</t>
  </si>
  <si>
    <t xml:space="preserve">Maintains tested backup and recovery processes.</t>
  </si>
  <si>
    <t xml:space="preserve">Statement ID</t>
  </si>
  <si>
    <t xml:space="preserve">Statement</t>
  </si>
  <si>
    <t xml:space="preserve">AT-2 [full]</t>
  </si>
  <si>
    <t xml:space="preserve">A.6.3 [full]</t>
  </si>
  <si>
    <t xml:space="preserve">CC1.4 [full]</t>
  </si>
  <si>
    <t xml:space="preserve">AC-2 [full]; AC-6 [full]</t>
  </si>
  <si>
    <t xml:space="preserve">A.5.15 [full]</t>
  </si>
  <si>
    <t xml:space="preserve">CC6.1 [full]; CC6.2 [full]; CC6.3 [partial]</t>
  </si>
  <si>
    <t xml:space="preserve">AC-17 [full]; IA-2 [full]</t>
  </si>
  <si>
    <t xml:space="preserve">A.5.17 [partial]; A.8.5 [full]</t>
  </si>
  <si>
    <t xml:space="preserve">CC6.1 [full]; CC6.6 [full]</t>
  </si>
  <si>
    <t xml:space="preserve">IA-5 [full]</t>
  </si>
  <si>
    <t xml:space="preserve">A.5.17 [full]</t>
  </si>
  <si>
    <t xml:space="preserve">CC6.1 [full]</t>
  </si>
  <si>
    <t xml:space="preserve">SC-13 [full]; SC-28 [full]; SC-7 [partial]</t>
  </si>
  <si>
    <t xml:space="preserve">A.8.20 [partial]; A.8.24 [full]</t>
  </si>
  <si>
    <t xml:space="preserve">C1.2 [partial]; CC6.7 [full]</t>
  </si>
  <si>
    <t xml:space="preserve">AU-2 [partial]; AU-6 [full]</t>
  </si>
  <si>
    <t xml:space="preserve">A.8.15 [full]; A.8.16 [partial]</t>
  </si>
  <si>
    <t xml:space="preserve">CC4.1 [partial]; CC7.2 [full]</t>
  </si>
  <si>
    <t xml:space="preserve">IR-6 [full]</t>
  </si>
  <si>
    <t xml:space="preserve">A.5.24 [full]; A.5.26 [full]</t>
  </si>
  <si>
    <t xml:space="preserve">CC7.3 [full]; CC7.4 [full]</t>
  </si>
  <si>
    <t xml:space="preserve">RA-5 [full]; SI-2 [partial]</t>
  </si>
  <si>
    <t xml:space="preserve">A.8.8 [full]</t>
  </si>
  <si>
    <t xml:space="preserve">CC7.1 [full]</t>
  </si>
  <si>
    <t xml:space="preserve">P9</t>
  </si>
  <si>
    <t xml:space="preserve">The company maintains cyber liability insurance with coverage of at least five million dollars.</t>
  </si>
  <si>
    <t xml:space="preserve">(gap / out of scope)</t>
  </si>
  <si>
    <t xml:space="preserve">CP-10 [partial]; CP-9 [full]</t>
  </si>
  <si>
    <t xml:space="preserve">A.8.13 [full]</t>
  </si>
  <si>
    <t xml:space="preserve">A1.2 [full]</t>
  </si>
  <si>
    <t xml:space="preserve">Control ID</t>
  </si>
  <si>
    <t xml:space="preserve">Control Title</t>
  </si>
  <si>
    <t xml:space="preserve">Status</t>
  </si>
  <si>
    <t xml:space="preserve">AC-3</t>
  </si>
  <si>
    <t xml:space="preserve">Access Enforcement</t>
  </si>
  <si>
    <t xml:space="preserve">uncovered</t>
  </si>
  <si>
    <t xml:space="preserve">CM-2</t>
  </si>
  <si>
    <t xml:space="preserve">Baseline Configuration</t>
  </si>
  <si>
    <t xml:space="preserve">CM-8</t>
  </si>
  <si>
    <t xml:space="preserve">System Component Inventory</t>
  </si>
  <si>
    <t xml:space="preserve">IR-4</t>
  </si>
  <si>
    <t xml:space="preserve">Incident Handling</t>
  </si>
  <si>
    <t xml:space="preserve">SI-4</t>
  </si>
  <si>
    <t xml:space="preserve">System Monitoring</t>
  </si>
  <si>
    <t xml:space="preserve">A.5.1</t>
  </si>
  <si>
    <t xml:space="preserve">Policies for information security</t>
  </si>
  <si>
    <t xml:space="preserve">A.5.7</t>
  </si>
  <si>
    <t xml:space="preserve">Threat intelligence</t>
  </si>
  <si>
    <t xml:space="preserve">A.5.9</t>
  </si>
  <si>
    <t xml:space="preserve">Inventory of information and other associated assets</t>
  </si>
  <si>
    <t xml:space="preserve">A.5.16</t>
  </si>
  <si>
    <t xml:space="preserve">Identity management</t>
  </si>
  <si>
    <t xml:space="preserve">A.5.18</t>
  </si>
  <si>
    <t xml:space="preserve">Access rights</t>
  </si>
  <si>
    <t xml:space="preserve">A.5.23</t>
  </si>
  <si>
    <t xml:space="preserve">Information security for use of cloud services</t>
  </si>
  <si>
    <t xml:space="preserve">A.5.30</t>
  </si>
  <si>
    <t xml:space="preserve">ICT readiness for business continuity</t>
  </si>
  <si>
    <t xml:space="preserve">A.7.4</t>
  </si>
  <si>
    <t xml:space="preserve">Physical security monitoring</t>
  </si>
  <si>
    <t xml:space="preserve">A.8.7</t>
  </si>
  <si>
    <t xml:space="preserve">Protection against malware</t>
  </si>
  <si>
    <t xml:space="preserve">CC2.2</t>
  </si>
  <si>
    <t xml:space="preserve">Internal communication</t>
  </si>
  <si>
    <t xml:space="preserve">CC2.3</t>
  </si>
  <si>
    <t xml:space="preserve">External communication</t>
  </si>
  <si>
    <t xml:space="preserve">CC3.2</t>
  </si>
  <si>
    <t xml:space="preserve">Risk identification and analysis</t>
  </si>
  <si>
    <t xml:space="preserve">CC5.2</t>
  </si>
  <si>
    <t xml:space="preserve">Technology general controls</t>
  </si>
  <si>
    <t xml:space="preserve">CC6.8</t>
  </si>
  <si>
    <t xml:space="preserve">Prevention and detection of unauthorized software</t>
  </si>
  <si>
    <t xml:space="preserve">CC8.1</t>
  </si>
  <si>
    <t xml:space="preserve">Change management</t>
  </si>
  <si>
    <t xml:space="preserve">CC9.1</t>
  </si>
  <si>
    <t xml:space="preserve">Risk mitigation activities</t>
  </si>
  <si>
    <t xml:space="preserve">C1.1</t>
  </si>
  <si>
    <t xml:space="preserve">Identification of confidential information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</si>
</sst>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20"/>
  </cols>
  <sheetData>
    <row r="1" customFormat="false" ht="17.35" hidden="false" customHeight="false" outlineLevel="0" collapsed="false">
      <c r="A1" s="1" t="s">
        <v>0</v>
      </c>
    </row>
    <row r="3" customFormat="false" ht="26.85" hidden="false" customHeight="true" outlineLevel="0" collapsed="false">
      <c r="A3" s="2" t="s">
        <v>1</v>
      </c>
      <c r="B3" s="2"/>
      <c r="C3" s="2"/>
      <c r="D3" s="2"/>
      <c r="E3" s="2"/>
    </row>
    <row r="5" customFormat="false" ht="26.85" hidden="false" customHeight="fals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</row>
    <row r="6" customFormat="false" ht="15" hidden="false" customHeight="false" outlineLevel="0" collapsed="false">
      <c r="A6" s="4" t="s">
        <v>7</v>
      </c>
      <c r="B6" s="4" t="n">
        <v>21</v>
      </c>
      <c r="C6" s="4" t="n">
        <f aca="false">COUNTIF(Mappings!$C$2:$C$45,A6)</f>
        <v>16</v>
      </c>
      <c r="D6" s="4" t="n">
        <f aca="false">COUNTIFS(Mappings!$C$2:$C$45,A6,Mappings!$F$2:$F$45,"full")</f>
        <v>12</v>
      </c>
      <c r="E6" s="4" t="n">
        <f aca="false">COUNTIFS(Mappings!$C$2:$C$45,A6,Mappings!$F$2:$F$45,"partial")</f>
        <v>4</v>
      </c>
    </row>
    <row r="7" customFormat="false" ht="15" hidden="false" customHeight="false" outlineLevel="0" collapsed="false">
      <c r="A7" s="4" t="s">
        <v>8</v>
      </c>
      <c r="B7" s="4" t="n">
        <v>21</v>
      </c>
      <c r="C7" s="4" t="n">
        <f aca="false">COUNTIF(Mappings!$C$2:$C$45,A7)</f>
        <v>13</v>
      </c>
      <c r="D7" s="4" t="n">
        <f aca="false">COUNTIFS(Mappings!$C$2:$C$45,A7,Mappings!$F$2:$F$45,"full")</f>
        <v>10</v>
      </c>
      <c r="E7" s="4" t="n">
        <f aca="false">COUNTIFS(Mappings!$C$2:$C$45,A7,Mappings!$F$2:$F$45,"partial")</f>
        <v>3</v>
      </c>
    </row>
    <row r="8" customFormat="false" ht="15" hidden="false" customHeight="false" outlineLevel="0" collapsed="false">
      <c r="A8" s="4" t="s">
        <v>9</v>
      </c>
      <c r="B8" s="4" t="n">
        <v>21</v>
      </c>
      <c r="C8" s="4" t="n">
        <f aca="false">COUNTIF(Mappings!$C$2:$C$45,A8)</f>
        <v>15</v>
      </c>
      <c r="D8" s="4" t="n">
        <f aca="false">COUNTIFS(Mappings!$C$2:$C$45,A8,Mappings!$F$2:$F$45,"full")</f>
        <v>12</v>
      </c>
      <c r="E8" s="4" t="n">
        <f aca="false">COUNTIFS(Mappings!$C$2:$C$45,A8,Mappings!$F$2:$F$45,"partial")</f>
        <v>3</v>
      </c>
    </row>
  </sheetData>
  <mergeCells count="1"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8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7" min="6" style="0" width="11"/>
    <col collapsed="false" customWidth="true" hidden="false" outlineLevel="0" max="8" min="8" style="0" width="52"/>
  </cols>
  <sheetData>
    <row r="1" customFormat="false" ht="26.85" hidden="false" customHeight="fals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</row>
    <row r="2" customFormat="false" ht="39.55" hidden="false" customHeight="false" outlineLevel="0" collapsed="false">
      <c r="A2" s="5" t="s">
        <v>18</v>
      </c>
      <c r="B2" s="6" t="s">
        <v>19</v>
      </c>
      <c r="C2" s="5" t="s">
        <v>8</v>
      </c>
      <c r="D2" s="5" t="s">
        <v>20</v>
      </c>
      <c r="E2" s="5" t="s">
        <v>21</v>
      </c>
      <c r="F2" s="7" t="s">
        <v>22</v>
      </c>
      <c r="G2" s="5" t="n">
        <v>0.95</v>
      </c>
      <c r="H2" s="6" t="s">
        <v>23</v>
      </c>
    </row>
    <row r="3" customFormat="false" ht="39.55" hidden="false" customHeight="false" outlineLevel="0" collapsed="false">
      <c r="A3" s="5" t="s">
        <v>18</v>
      </c>
      <c r="B3" s="6" t="s">
        <v>19</v>
      </c>
      <c r="C3" s="5" t="s">
        <v>7</v>
      </c>
      <c r="D3" s="5" t="s">
        <v>24</v>
      </c>
      <c r="E3" s="5" t="s">
        <v>25</v>
      </c>
      <c r="F3" s="7" t="s">
        <v>22</v>
      </c>
      <c r="G3" s="5" t="n">
        <v>0.95</v>
      </c>
      <c r="H3" s="6" t="s">
        <v>26</v>
      </c>
    </row>
    <row r="4" customFormat="false" ht="39.55" hidden="false" customHeight="false" outlineLevel="0" collapsed="false">
      <c r="A4" s="5" t="s">
        <v>18</v>
      </c>
      <c r="B4" s="6" t="s">
        <v>19</v>
      </c>
      <c r="C4" s="5" t="s">
        <v>9</v>
      </c>
      <c r="D4" s="5" t="s">
        <v>27</v>
      </c>
      <c r="E4" s="5" t="s">
        <v>28</v>
      </c>
      <c r="F4" s="7" t="s">
        <v>22</v>
      </c>
      <c r="G4" s="5" t="n">
        <v>0.9</v>
      </c>
      <c r="H4" s="6" t="s">
        <v>29</v>
      </c>
    </row>
    <row r="5" customFormat="false" ht="52.2" hidden="false" customHeight="false" outlineLevel="0" collapsed="false">
      <c r="A5" s="5" t="s">
        <v>30</v>
      </c>
      <c r="B5" s="6" t="s">
        <v>31</v>
      </c>
      <c r="C5" s="5" t="s">
        <v>8</v>
      </c>
      <c r="D5" s="5" t="s">
        <v>32</v>
      </c>
      <c r="E5" s="5" t="s">
        <v>33</v>
      </c>
      <c r="F5" s="7" t="s">
        <v>22</v>
      </c>
      <c r="G5" s="5" t="n">
        <v>0.92</v>
      </c>
      <c r="H5" s="6" t="s">
        <v>34</v>
      </c>
    </row>
    <row r="6" customFormat="false" ht="52.2" hidden="false" customHeight="false" outlineLevel="0" collapsed="false">
      <c r="A6" s="5" t="s">
        <v>30</v>
      </c>
      <c r="B6" s="6" t="s">
        <v>31</v>
      </c>
      <c r="C6" s="5" t="s">
        <v>7</v>
      </c>
      <c r="D6" s="5" t="s">
        <v>35</v>
      </c>
      <c r="E6" s="5" t="s">
        <v>36</v>
      </c>
      <c r="F6" s="7" t="s">
        <v>22</v>
      </c>
      <c r="G6" s="5" t="n">
        <v>0.88</v>
      </c>
      <c r="H6" s="6" t="s">
        <v>37</v>
      </c>
    </row>
    <row r="7" customFormat="false" ht="52.2" hidden="false" customHeight="false" outlineLevel="0" collapsed="false">
      <c r="A7" s="5" t="s">
        <v>30</v>
      </c>
      <c r="B7" s="6" t="s">
        <v>31</v>
      </c>
      <c r="C7" s="5" t="s">
        <v>7</v>
      </c>
      <c r="D7" s="5" t="s">
        <v>38</v>
      </c>
      <c r="E7" s="5" t="s">
        <v>39</v>
      </c>
      <c r="F7" s="7" t="s">
        <v>22</v>
      </c>
      <c r="G7" s="5" t="n">
        <v>0.93</v>
      </c>
      <c r="H7" s="6" t="s">
        <v>40</v>
      </c>
    </row>
    <row r="8" customFormat="false" ht="52.2" hidden="false" customHeight="false" outlineLevel="0" collapsed="false">
      <c r="A8" s="5" t="s">
        <v>30</v>
      </c>
      <c r="B8" s="6" t="s">
        <v>31</v>
      </c>
      <c r="C8" s="5" t="s">
        <v>9</v>
      </c>
      <c r="D8" s="5" t="s">
        <v>41</v>
      </c>
      <c r="E8" s="5" t="s">
        <v>42</v>
      </c>
      <c r="F8" s="7" t="s">
        <v>22</v>
      </c>
      <c r="G8" s="5" t="n">
        <v>0.92</v>
      </c>
      <c r="H8" s="6" t="s">
        <v>43</v>
      </c>
    </row>
    <row r="9" customFormat="false" ht="52.2" hidden="false" customHeight="false" outlineLevel="0" collapsed="false">
      <c r="A9" s="5" t="s">
        <v>30</v>
      </c>
      <c r="B9" s="6" t="s">
        <v>31</v>
      </c>
      <c r="C9" s="5" t="s">
        <v>9</v>
      </c>
      <c r="D9" s="5" t="s">
        <v>44</v>
      </c>
      <c r="E9" s="5" t="s">
        <v>45</v>
      </c>
      <c r="F9" s="7" t="s">
        <v>22</v>
      </c>
      <c r="G9" s="5" t="n">
        <v>0.88</v>
      </c>
      <c r="H9" s="6" t="s">
        <v>46</v>
      </c>
    </row>
    <row r="10" customFormat="false" ht="52.2" hidden="false" customHeight="false" outlineLevel="0" collapsed="false">
      <c r="A10" s="5" t="s">
        <v>30</v>
      </c>
      <c r="B10" s="6" t="s">
        <v>31</v>
      </c>
      <c r="C10" s="5" t="s">
        <v>9</v>
      </c>
      <c r="D10" s="5" t="s">
        <v>47</v>
      </c>
      <c r="E10" s="5" t="s">
        <v>48</v>
      </c>
      <c r="F10" s="8" t="s">
        <v>49</v>
      </c>
      <c r="G10" s="5" t="n">
        <v>0.74</v>
      </c>
      <c r="H10" s="6" t="s">
        <v>50</v>
      </c>
    </row>
    <row r="11" customFormat="false" ht="39.55" hidden="false" customHeight="false" outlineLevel="0" collapsed="false">
      <c r="A11" s="5" t="s">
        <v>51</v>
      </c>
      <c r="B11" s="6" t="s">
        <v>52</v>
      </c>
      <c r="C11" s="5" t="s">
        <v>8</v>
      </c>
      <c r="D11" s="5" t="s">
        <v>53</v>
      </c>
      <c r="E11" s="5" t="s">
        <v>54</v>
      </c>
      <c r="F11" s="8" t="s">
        <v>49</v>
      </c>
      <c r="G11" s="5" t="n">
        <v>0.68</v>
      </c>
      <c r="H11" s="6" t="s">
        <v>55</v>
      </c>
    </row>
    <row r="12" customFormat="false" ht="39.55" hidden="false" customHeight="false" outlineLevel="0" collapsed="false">
      <c r="A12" s="5" t="s">
        <v>51</v>
      </c>
      <c r="B12" s="6" t="s">
        <v>52</v>
      </c>
      <c r="C12" s="5" t="s">
        <v>8</v>
      </c>
      <c r="D12" s="5" t="s">
        <v>56</v>
      </c>
      <c r="E12" s="5" t="s">
        <v>57</v>
      </c>
      <c r="F12" s="7" t="s">
        <v>22</v>
      </c>
      <c r="G12" s="5" t="n">
        <v>0.91</v>
      </c>
      <c r="H12" s="6" t="s">
        <v>58</v>
      </c>
    </row>
    <row r="13" customFormat="false" ht="39.55" hidden="false" customHeight="false" outlineLevel="0" collapsed="false">
      <c r="A13" s="5" t="s">
        <v>51</v>
      </c>
      <c r="B13" s="6" t="s">
        <v>52</v>
      </c>
      <c r="C13" s="5" t="s">
        <v>7</v>
      </c>
      <c r="D13" s="5" t="s">
        <v>59</v>
      </c>
      <c r="E13" s="5" t="s">
        <v>60</v>
      </c>
      <c r="F13" s="7" t="s">
        <v>22</v>
      </c>
      <c r="G13" s="5" t="n">
        <v>0.92</v>
      </c>
      <c r="H13" s="6" t="s">
        <v>61</v>
      </c>
    </row>
    <row r="14" customFormat="false" ht="39.55" hidden="false" customHeight="false" outlineLevel="0" collapsed="false">
      <c r="A14" s="5" t="s">
        <v>51</v>
      </c>
      <c r="B14" s="6" t="s">
        <v>52</v>
      </c>
      <c r="C14" s="5" t="s">
        <v>7</v>
      </c>
      <c r="D14" s="5" t="s">
        <v>62</v>
      </c>
      <c r="E14" s="5" t="s">
        <v>63</v>
      </c>
      <c r="F14" s="7" t="s">
        <v>22</v>
      </c>
      <c r="G14" s="5" t="n">
        <v>0.9</v>
      </c>
      <c r="H14" s="6" t="s">
        <v>64</v>
      </c>
    </row>
    <row r="15" customFormat="false" ht="39.55" hidden="false" customHeight="false" outlineLevel="0" collapsed="false">
      <c r="A15" s="5" t="s">
        <v>51</v>
      </c>
      <c r="B15" s="6" t="s">
        <v>52</v>
      </c>
      <c r="C15" s="5" t="s">
        <v>9</v>
      </c>
      <c r="D15" s="5" t="s">
        <v>41</v>
      </c>
      <c r="E15" s="5" t="s">
        <v>42</v>
      </c>
      <c r="F15" s="7" t="s">
        <v>22</v>
      </c>
      <c r="G15" s="5" t="n">
        <v>0.9</v>
      </c>
      <c r="H15" s="6" t="s">
        <v>65</v>
      </c>
    </row>
    <row r="16" customFormat="false" ht="39.55" hidden="false" customHeight="false" outlineLevel="0" collapsed="false">
      <c r="A16" s="5" t="s">
        <v>51</v>
      </c>
      <c r="B16" s="6" t="s">
        <v>52</v>
      </c>
      <c r="C16" s="5" t="s">
        <v>9</v>
      </c>
      <c r="D16" s="5" t="s">
        <v>66</v>
      </c>
      <c r="E16" s="5" t="s">
        <v>67</v>
      </c>
      <c r="F16" s="7" t="s">
        <v>22</v>
      </c>
      <c r="G16" s="5" t="n">
        <v>0.89</v>
      </c>
      <c r="H16" s="6" t="s">
        <v>68</v>
      </c>
    </row>
    <row r="17" customFormat="false" ht="39.55" hidden="false" customHeight="false" outlineLevel="0" collapsed="false">
      <c r="A17" s="5" t="s">
        <v>69</v>
      </c>
      <c r="B17" s="6" t="s">
        <v>70</v>
      </c>
      <c r="C17" s="5" t="s">
        <v>8</v>
      </c>
      <c r="D17" s="5" t="s">
        <v>53</v>
      </c>
      <c r="E17" s="5" t="s">
        <v>54</v>
      </c>
      <c r="F17" s="7" t="s">
        <v>22</v>
      </c>
      <c r="G17" s="5" t="n">
        <v>0.93</v>
      </c>
      <c r="H17" s="6" t="s">
        <v>71</v>
      </c>
    </row>
    <row r="18" customFormat="false" ht="39.55" hidden="false" customHeight="false" outlineLevel="0" collapsed="false">
      <c r="A18" s="5" t="s">
        <v>69</v>
      </c>
      <c r="B18" s="6" t="s">
        <v>70</v>
      </c>
      <c r="C18" s="5" t="s">
        <v>7</v>
      </c>
      <c r="D18" s="5" t="s">
        <v>72</v>
      </c>
      <c r="E18" s="5" t="s">
        <v>73</v>
      </c>
      <c r="F18" s="7" t="s">
        <v>22</v>
      </c>
      <c r="G18" s="5" t="n">
        <v>0.94</v>
      </c>
      <c r="H18" s="6" t="s">
        <v>74</v>
      </c>
    </row>
    <row r="19" customFormat="false" ht="39.55" hidden="false" customHeight="false" outlineLevel="0" collapsed="false">
      <c r="A19" s="5" t="s">
        <v>69</v>
      </c>
      <c r="B19" s="6" t="s">
        <v>70</v>
      </c>
      <c r="C19" s="5" t="s">
        <v>9</v>
      </c>
      <c r="D19" s="5" t="s">
        <v>41</v>
      </c>
      <c r="E19" s="5" t="s">
        <v>42</v>
      </c>
      <c r="F19" s="7" t="s">
        <v>22</v>
      </c>
      <c r="G19" s="5" t="n">
        <v>0.91</v>
      </c>
      <c r="H19" s="6" t="s">
        <v>75</v>
      </c>
    </row>
    <row r="20" customFormat="false" ht="39.55" hidden="false" customHeight="false" outlineLevel="0" collapsed="false">
      <c r="A20" s="5" t="s">
        <v>76</v>
      </c>
      <c r="B20" s="6" t="s">
        <v>77</v>
      </c>
      <c r="C20" s="5" t="s">
        <v>8</v>
      </c>
      <c r="D20" s="5" t="s">
        <v>78</v>
      </c>
      <c r="E20" s="5" t="s">
        <v>79</v>
      </c>
      <c r="F20" s="8" t="s">
        <v>49</v>
      </c>
      <c r="G20" s="5" t="n">
        <v>0.38</v>
      </c>
      <c r="H20" s="6" t="s">
        <v>80</v>
      </c>
    </row>
    <row r="21" customFormat="false" ht="39.55" hidden="false" customHeight="false" outlineLevel="0" collapsed="false">
      <c r="A21" s="5" t="s">
        <v>76</v>
      </c>
      <c r="B21" s="6" t="s">
        <v>77</v>
      </c>
      <c r="C21" s="5" t="s">
        <v>8</v>
      </c>
      <c r="D21" s="5" t="s">
        <v>81</v>
      </c>
      <c r="E21" s="5" t="s">
        <v>82</v>
      </c>
      <c r="F21" s="7" t="s">
        <v>22</v>
      </c>
      <c r="G21" s="5" t="n">
        <v>0.92</v>
      </c>
      <c r="H21" s="6" t="s">
        <v>83</v>
      </c>
    </row>
    <row r="22" customFormat="false" ht="39.55" hidden="false" customHeight="false" outlineLevel="0" collapsed="false">
      <c r="A22" s="5" t="s">
        <v>76</v>
      </c>
      <c r="B22" s="6" t="s">
        <v>77</v>
      </c>
      <c r="C22" s="5" t="s">
        <v>7</v>
      </c>
      <c r="D22" s="5" t="s">
        <v>84</v>
      </c>
      <c r="E22" s="5" t="s">
        <v>85</v>
      </c>
      <c r="F22" s="7" t="s">
        <v>22</v>
      </c>
      <c r="G22" s="5" t="n">
        <v>0.85</v>
      </c>
      <c r="H22" s="6" t="s">
        <v>86</v>
      </c>
    </row>
    <row r="23" customFormat="false" ht="39.55" hidden="false" customHeight="false" outlineLevel="0" collapsed="false">
      <c r="A23" s="5" t="s">
        <v>76</v>
      </c>
      <c r="B23" s="6" t="s">
        <v>77</v>
      </c>
      <c r="C23" s="5" t="s">
        <v>7</v>
      </c>
      <c r="D23" s="5" t="s">
        <v>87</v>
      </c>
      <c r="E23" s="5" t="s">
        <v>88</v>
      </c>
      <c r="F23" s="7" t="s">
        <v>22</v>
      </c>
      <c r="G23" s="5" t="n">
        <v>0.93</v>
      </c>
      <c r="H23" s="6" t="s">
        <v>89</v>
      </c>
    </row>
    <row r="24" customFormat="false" ht="39.55" hidden="false" customHeight="false" outlineLevel="0" collapsed="false">
      <c r="A24" s="5" t="s">
        <v>76</v>
      </c>
      <c r="B24" s="6" t="s">
        <v>77</v>
      </c>
      <c r="C24" s="5" t="s">
        <v>7</v>
      </c>
      <c r="D24" s="5" t="s">
        <v>90</v>
      </c>
      <c r="E24" s="5" t="s">
        <v>91</v>
      </c>
      <c r="F24" s="8" t="s">
        <v>49</v>
      </c>
      <c r="G24" s="5" t="n">
        <v>0.4</v>
      </c>
      <c r="H24" s="6" t="s">
        <v>92</v>
      </c>
    </row>
    <row r="25" customFormat="false" ht="39.55" hidden="false" customHeight="false" outlineLevel="0" collapsed="false">
      <c r="A25" s="5" t="s">
        <v>76</v>
      </c>
      <c r="B25" s="6" t="s">
        <v>77</v>
      </c>
      <c r="C25" s="5" t="s">
        <v>9</v>
      </c>
      <c r="D25" s="5" t="s">
        <v>93</v>
      </c>
      <c r="E25" s="5" t="s">
        <v>94</v>
      </c>
      <c r="F25" s="8" t="s">
        <v>49</v>
      </c>
      <c r="G25" s="5" t="n">
        <v>0.7</v>
      </c>
      <c r="H25" s="6" t="s">
        <v>95</v>
      </c>
    </row>
    <row r="26" customFormat="false" ht="39.55" hidden="false" customHeight="false" outlineLevel="0" collapsed="false">
      <c r="A26" s="5" t="s">
        <v>76</v>
      </c>
      <c r="B26" s="6" t="s">
        <v>77</v>
      </c>
      <c r="C26" s="5" t="s">
        <v>9</v>
      </c>
      <c r="D26" s="5" t="s">
        <v>96</v>
      </c>
      <c r="E26" s="5" t="s">
        <v>97</v>
      </c>
      <c r="F26" s="7" t="s">
        <v>22</v>
      </c>
      <c r="G26" s="5" t="n">
        <v>0.92</v>
      </c>
      <c r="H26" s="6" t="s">
        <v>98</v>
      </c>
    </row>
    <row r="27" customFormat="false" ht="39.55" hidden="false" customHeight="false" outlineLevel="0" collapsed="false">
      <c r="A27" s="5" t="s">
        <v>99</v>
      </c>
      <c r="B27" s="6" t="s">
        <v>100</v>
      </c>
      <c r="C27" s="5" t="s">
        <v>8</v>
      </c>
      <c r="D27" s="5" t="s">
        <v>101</v>
      </c>
      <c r="E27" s="5" t="s">
        <v>102</v>
      </c>
      <c r="F27" s="7" t="s">
        <v>22</v>
      </c>
      <c r="G27" s="5" t="n">
        <v>0.9</v>
      </c>
      <c r="H27" s="6" t="s">
        <v>103</v>
      </c>
    </row>
    <row r="28" customFormat="false" ht="39.55" hidden="false" customHeight="false" outlineLevel="0" collapsed="false">
      <c r="A28" s="5" t="s">
        <v>99</v>
      </c>
      <c r="B28" s="6" t="s">
        <v>100</v>
      </c>
      <c r="C28" s="5" t="s">
        <v>8</v>
      </c>
      <c r="D28" s="5" t="s">
        <v>104</v>
      </c>
      <c r="E28" s="5" t="s">
        <v>105</v>
      </c>
      <c r="F28" s="8" t="s">
        <v>49</v>
      </c>
      <c r="G28" s="5" t="n">
        <v>0.7</v>
      </c>
      <c r="H28" s="6" t="s">
        <v>106</v>
      </c>
    </row>
    <row r="29" customFormat="false" ht="39.55" hidden="false" customHeight="false" outlineLevel="0" collapsed="false">
      <c r="A29" s="5" t="s">
        <v>99</v>
      </c>
      <c r="B29" s="6" t="s">
        <v>100</v>
      </c>
      <c r="C29" s="5" t="s">
        <v>7</v>
      </c>
      <c r="D29" s="5" t="s">
        <v>107</v>
      </c>
      <c r="E29" s="5" t="s">
        <v>108</v>
      </c>
      <c r="F29" s="8" t="s">
        <v>49</v>
      </c>
      <c r="G29" s="5" t="n">
        <v>0.7</v>
      </c>
      <c r="H29" s="6" t="s">
        <v>109</v>
      </c>
    </row>
    <row r="30" customFormat="false" ht="39.55" hidden="false" customHeight="false" outlineLevel="0" collapsed="false">
      <c r="A30" s="5" t="s">
        <v>99</v>
      </c>
      <c r="B30" s="6" t="s">
        <v>100</v>
      </c>
      <c r="C30" s="5" t="s">
        <v>7</v>
      </c>
      <c r="D30" s="5" t="s">
        <v>110</v>
      </c>
      <c r="E30" s="5" t="s">
        <v>111</v>
      </c>
      <c r="F30" s="7" t="s">
        <v>22</v>
      </c>
      <c r="G30" s="5" t="n">
        <v>0.9</v>
      </c>
      <c r="H30" s="6" t="s">
        <v>112</v>
      </c>
    </row>
    <row r="31" customFormat="false" ht="39.55" hidden="false" customHeight="false" outlineLevel="0" collapsed="false">
      <c r="A31" s="5" t="s">
        <v>99</v>
      </c>
      <c r="B31" s="6" t="s">
        <v>100</v>
      </c>
      <c r="C31" s="5" t="s">
        <v>9</v>
      </c>
      <c r="D31" s="5" t="s">
        <v>113</v>
      </c>
      <c r="E31" s="5" t="s">
        <v>114</v>
      </c>
      <c r="F31" s="8" t="s">
        <v>49</v>
      </c>
      <c r="G31" s="5" t="n">
        <v>0.42</v>
      </c>
      <c r="H31" s="6" t="s">
        <v>115</v>
      </c>
    </row>
    <row r="32" customFormat="false" ht="39.55" hidden="false" customHeight="false" outlineLevel="0" collapsed="false">
      <c r="A32" s="5" t="s">
        <v>99</v>
      </c>
      <c r="B32" s="6" t="s">
        <v>100</v>
      </c>
      <c r="C32" s="5" t="s">
        <v>9</v>
      </c>
      <c r="D32" s="5" t="s">
        <v>116</v>
      </c>
      <c r="E32" s="5" t="s">
        <v>117</v>
      </c>
      <c r="F32" s="7" t="s">
        <v>22</v>
      </c>
      <c r="G32" s="5" t="n">
        <v>0.9</v>
      </c>
      <c r="H32" s="6" t="s">
        <v>118</v>
      </c>
    </row>
    <row r="33" customFormat="false" ht="52.2" hidden="false" customHeight="false" outlineLevel="0" collapsed="false">
      <c r="A33" s="5" t="s">
        <v>119</v>
      </c>
      <c r="B33" s="6" t="s">
        <v>120</v>
      </c>
      <c r="C33" s="5" t="s">
        <v>8</v>
      </c>
      <c r="D33" s="5" t="s">
        <v>121</v>
      </c>
      <c r="E33" s="5" t="s">
        <v>122</v>
      </c>
      <c r="F33" s="7" t="s">
        <v>22</v>
      </c>
      <c r="G33" s="5" t="n">
        <v>0.88</v>
      </c>
      <c r="H33" s="6" t="s">
        <v>123</v>
      </c>
    </row>
    <row r="34" customFormat="false" ht="52.2" hidden="false" customHeight="false" outlineLevel="0" collapsed="false">
      <c r="A34" s="5" t="s">
        <v>119</v>
      </c>
      <c r="B34" s="6" t="s">
        <v>120</v>
      </c>
      <c r="C34" s="5" t="s">
        <v>8</v>
      </c>
      <c r="D34" s="5" t="s">
        <v>124</v>
      </c>
      <c r="E34" s="5" t="s">
        <v>125</v>
      </c>
      <c r="F34" s="7" t="s">
        <v>22</v>
      </c>
      <c r="G34" s="5" t="n">
        <v>0.9</v>
      </c>
      <c r="H34" s="6" t="s">
        <v>126</v>
      </c>
    </row>
    <row r="35" customFormat="false" ht="52.2" hidden="false" customHeight="false" outlineLevel="0" collapsed="false">
      <c r="A35" s="5" t="s">
        <v>119</v>
      </c>
      <c r="B35" s="6" t="s">
        <v>120</v>
      </c>
      <c r="C35" s="5" t="s">
        <v>7</v>
      </c>
      <c r="D35" s="5" t="s">
        <v>127</v>
      </c>
      <c r="E35" s="5" t="s">
        <v>128</v>
      </c>
      <c r="F35" s="7" t="s">
        <v>22</v>
      </c>
      <c r="G35" s="5" t="n">
        <v>0.92</v>
      </c>
      <c r="H35" s="6" t="s">
        <v>129</v>
      </c>
    </row>
    <row r="36" customFormat="false" ht="52.2" hidden="false" customHeight="false" outlineLevel="0" collapsed="false">
      <c r="A36" s="5" t="s">
        <v>119</v>
      </c>
      <c r="B36" s="6" t="s">
        <v>120</v>
      </c>
      <c r="C36" s="5" t="s">
        <v>9</v>
      </c>
      <c r="D36" s="5" t="s">
        <v>130</v>
      </c>
      <c r="E36" s="5" t="s">
        <v>131</v>
      </c>
      <c r="F36" s="7" t="s">
        <v>22</v>
      </c>
      <c r="G36" s="5" t="n">
        <v>0.88</v>
      </c>
      <c r="H36" s="6" t="s">
        <v>132</v>
      </c>
    </row>
    <row r="37" customFormat="false" ht="52.2" hidden="false" customHeight="false" outlineLevel="0" collapsed="false">
      <c r="A37" s="5" t="s">
        <v>119</v>
      </c>
      <c r="B37" s="6" t="s">
        <v>120</v>
      </c>
      <c r="C37" s="5" t="s">
        <v>9</v>
      </c>
      <c r="D37" s="5" t="s">
        <v>133</v>
      </c>
      <c r="E37" s="5" t="s">
        <v>134</v>
      </c>
      <c r="F37" s="7" t="s">
        <v>22</v>
      </c>
      <c r="G37" s="5" t="n">
        <v>0.9</v>
      </c>
      <c r="H37" s="6" t="s">
        <v>135</v>
      </c>
    </row>
    <row r="38" customFormat="false" ht="39.55" hidden="false" customHeight="false" outlineLevel="0" collapsed="false">
      <c r="A38" s="5" t="s">
        <v>136</v>
      </c>
      <c r="B38" s="6" t="s">
        <v>137</v>
      </c>
      <c r="C38" s="5" t="s">
        <v>8</v>
      </c>
      <c r="D38" s="5" t="s">
        <v>138</v>
      </c>
      <c r="E38" s="5" t="s">
        <v>139</v>
      </c>
      <c r="F38" s="7" t="s">
        <v>22</v>
      </c>
      <c r="G38" s="5" t="n">
        <v>0.91</v>
      </c>
      <c r="H38" s="6" t="s">
        <v>140</v>
      </c>
    </row>
    <row r="39" customFormat="false" ht="39.55" hidden="false" customHeight="false" outlineLevel="0" collapsed="false">
      <c r="A39" s="5" t="s">
        <v>136</v>
      </c>
      <c r="B39" s="6" t="s">
        <v>137</v>
      </c>
      <c r="C39" s="5" t="s">
        <v>7</v>
      </c>
      <c r="D39" s="5" t="s">
        <v>141</v>
      </c>
      <c r="E39" s="5" t="s">
        <v>142</v>
      </c>
      <c r="F39" s="7" t="s">
        <v>22</v>
      </c>
      <c r="G39" s="5" t="n">
        <v>0.91</v>
      </c>
      <c r="H39" s="6" t="s">
        <v>143</v>
      </c>
    </row>
    <row r="40" customFormat="false" ht="39.55" hidden="false" customHeight="false" outlineLevel="0" collapsed="false">
      <c r="A40" s="5" t="s">
        <v>136</v>
      </c>
      <c r="B40" s="6" t="s">
        <v>137</v>
      </c>
      <c r="C40" s="5" t="s">
        <v>7</v>
      </c>
      <c r="D40" s="5" t="s">
        <v>144</v>
      </c>
      <c r="E40" s="5" t="s">
        <v>145</v>
      </c>
      <c r="F40" s="8" t="s">
        <v>49</v>
      </c>
      <c r="G40" s="5" t="n">
        <v>0.75</v>
      </c>
      <c r="H40" s="6" t="s">
        <v>146</v>
      </c>
    </row>
    <row r="41" customFormat="false" ht="39.55" hidden="false" customHeight="false" outlineLevel="0" collapsed="false">
      <c r="A41" s="5" t="s">
        <v>136</v>
      </c>
      <c r="B41" s="6" t="s">
        <v>137</v>
      </c>
      <c r="C41" s="5" t="s">
        <v>9</v>
      </c>
      <c r="D41" s="5" t="s">
        <v>147</v>
      </c>
      <c r="E41" s="5" t="s">
        <v>148</v>
      </c>
      <c r="F41" s="7" t="s">
        <v>22</v>
      </c>
      <c r="G41" s="5" t="n">
        <v>0.91</v>
      </c>
      <c r="H41" s="6" t="s">
        <v>149</v>
      </c>
    </row>
    <row r="42" customFormat="false" ht="39.55" hidden="false" customHeight="false" outlineLevel="0" collapsed="false">
      <c r="A42" s="5" t="s">
        <v>150</v>
      </c>
      <c r="B42" s="6" t="s">
        <v>151</v>
      </c>
      <c r="C42" s="5" t="s">
        <v>8</v>
      </c>
      <c r="D42" s="5" t="s">
        <v>152</v>
      </c>
      <c r="E42" s="5" t="s">
        <v>153</v>
      </c>
      <c r="F42" s="7" t="s">
        <v>22</v>
      </c>
      <c r="G42" s="5" t="n">
        <v>0.93</v>
      </c>
      <c r="H42" s="6" t="s">
        <v>154</v>
      </c>
    </row>
    <row r="43" customFormat="false" ht="39.55" hidden="false" customHeight="false" outlineLevel="0" collapsed="false">
      <c r="A43" s="5" t="s">
        <v>150</v>
      </c>
      <c r="B43" s="6" t="s">
        <v>151</v>
      </c>
      <c r="C43" s="5" t="s">
        <v>7</v>
      </c>
      <c r="D43" s="5" t="s">
        <v>155</v>
      </c>
      <c r="E43" s="5" t="s">
        <v>156</v>
      </c>
      <c r="F43" s="8" t="s">
        <v>49</v>
      </c>
      <c r="G43" s="5" t="n">
        <v>0.72</v>
      </c>
      <c r="H43" s="6" t="s">
        <v>157</v>
      </c>
    </row>
    <row r="44" customFormat="false" ht="39.55" hidden="false" customHeight="false" outlineLevel="0" collapsed="false">
      <c r="A44" s="5" t="s">
        <v>150</v>
      </c>
      <c r="B44" s="6" t="s">
        <v>151</v>
      </c>
      <c r="C44" s="5" t="s">
        <v>7</v>
      </c>
      <c r="D44" s="5" t="s">
        <v>158</v>
      </c>
      <c r="E44" s="5" t="s">
        <v>159</v>
      </c>
      <c r="F44" s="7" t="s">
        <v>22</v>
      </c>
      <c r="G44" s="5" t="n">
        <v>0.93</v>
      </c>
      <c r="H44" s="6" t="s">
        <v>160</v>
      </c>
    </row>
    <row r="45" customFormat="false" ht="39.55" hidden="false" customHeight="false" outlineLevel="0" collapsed="false">
      <c r="A45" s="5" t="s">
        <v>150</v>
      </c>
      <c r="B45" s="6" t="s">
        <v>151</v>
      </c>
      <c r="C45" s="5" t="s">
        <v>9</v>
      </c>
      <c r="D45" s="5" t="s">
        <v>161</v>
      </c>
      <c r="E45" s="5" t="s">
        <v>162</v>
      </c>
      <c r="F45" s="7" t="s">
        <v>22</v>
      </c>
      <c r="G45" s="5" t="n">
        <v>0.92</v>
      </c>
      <c r="H45" s="6" t="s">
        <v>163</v>
      </c>
    </row>
  </sheetData>
  <autoFilter ref="A1:H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5" min="3" style="0" width="26"/>
  </cols>
  <sheetData>
    <row r="1" customFormat="false" ht="26.85" hidden="false" customHeight="false" outlineLevel="0" collapsed="false">
      <c r="A1" s="3" t="s">
        <v>164</v>
      </c>
      <c r="B1" s="3" t="s">
        <v>165</v>
      </c>
      <c r="C1" s="3" t="s">
        <v>7</v>
      </c>
      <c r="D1" s="3" t="s">
        <v>8</v>
      </c>
      <c r="E1" s="3" t="s">
        <v>9</v>
      </c>
    </row>
    <row r="2" customFormat="false" ht="39.55" hidden="false" customHeight="false" outlineLevel="0" collapsed="false">
      <c r="A2" s="6" t="s">
        <v>18</v>
      </c>
      <c r="B2" s="6" t="s">
        <v>19</v>
      </c>
      <c r="C2" s="6" t="s">
        <v>166</v>
      </c>
      <c r="D2" s="6" t="s">
        <v>167</v>
      </c>
      <c r="E2" s="6" t="s">
        <v>168</v>
      </c>
    </row>
    <row r="3" customFormat="false" ht="52.2" hidden="false" customHeight="false" outlineLevel="0" collapsed="false">
      <c r="A3" s="6" t="s">
        <v>30</v>
      </c>
      <c r="B3" s="6" t="s">
        <v>31</v>
      </c>
      <c r="C3" s="6" t="s">
        <v>169</v>
      </c>
      <c r="D3" s="6" t="s">
        <v>170</v>
      </c>
      <c r="E3" s="6" t="s">
        <v>171</v>
      </c>
    </row>
    <row r="4" customFormat="false" ht="39.55" hidden="false" customHeight="false" outlineLevel="0" collapsed="false">
      <c r="A4" s="6" t="s">
        <v>51</v>
      </c>
      <c r="B4" s="6" t="s">
        <v>52</v>
      </c>
      <c r="C4" s="6" t="s">
        <v>172</v>
      </c>
      <c r="D4" s="6" t="s">
        <v>173</v>
      </c>
      <c r="E4" s="6" t="s">
        <v>174</v>
      </c>
    </row>
    <row r="5" customFormat="false" ht="39.55" hidden="false" customHeight="false" outlineLevel="0" collapsed="false">
      <c r="A5" s="6" t="s">
        <v>69</v>
      </c>
      <c r="B5" s="6" t="s">
        <v>70</v>
      </c>
      <c r="C5" s="6" t="s">
        <v>175</v>
      </c>
      <c r="D5" s="6" t="s">
        <v>176</v>
      </c>
      <c r="E5" s="6" t="s">
        <v>177</v>
      </c>
    </row>
    <row r="6" customFormat="false" ht="26.85" hidden="false" customHeight="false" outlineLevel="0" collapsed="false">
      <c r="A6" s="6" t="s">
        <v>76</v>
      </c>
      <c r="B6" s="6" t="s">
        <v>77</v>
      </c>
      <c r="C6" s="6" t="s">
        <v>178</v>
      </c>
      <c r="D6" s="6" t="s">
        <v>179</v>
      </c>
      <c r="E6" s="6" t="s">
        <v>180</v>
      </c>
    </row>
    <row r="7" customFormat="false" ht="39.55" hidden="false" customHeight="false" outlineLevel="0" collapsed="false">
      <c r="A7" s="6" t="s">
        <v>99</v>
      </c>
      <c r="B7" s="6" t="s">
        <v>100</v>
      </c>
      <c r="C7" s="6" t="s">
        <v>181</v>
      </c>
      <c r="D7" s="6" t="s">
        <v>182</v>
      </c>
      <c r="E7" s="6" t="s">
        <v>183</v>
      </c>
    </row>
    <row r="8" customFormat="false" ht="39.55" hidden="false" customHeight="false" outlineLevel="0" collapsed="false">
      <c r="A8" s="6" t="s">
        <v>119</v>
      </c>
      <c r="B8" s="6" t="s">
        <v>120</v>
      </c>
      <c r="C8" s="6" t="s">
        <v>184</v>
      </c>
      <c r="D8" s="6" t="s">
        <v>185</v>
      </c>
      <c r="E8" s="6" t="s">
        <v>186</v>
      </c>
    </row>
    <row r="9" customFormat="false" ht="39.55" hidden="false" customHeight="false" outlineLevel="0" collapsed="false">
      <c r="A9" s="6" t="s">
        <v>136</v>
      </c>
      <c r="B9" s="6" t="s">
        <v>137</v>
      </c>
      <c r="C9" s="6" t="s">
        <v>187</v>
      </c>
      <c r="D9" s="6" t="s">
        <v>188</v>
      </c>
      <c r="E9" s="6" t="s">
        <v>189</v>
      </c>
    </row>
    <row r="10" customFormat="false" ht="26.85" hidden="false" customHeight="false" outlineLevel="0" collapsed="false">
      <c r="A10" s="6" t="s">
        <v>190</v>
      </c>
      <c r="B10" s="6" t="s">
        <v>191</v>
      </c>
      <c r="C10" s="9" t="s">
        <v>192</v>
      </c>
      <c r="D10" s="9" t="s">
        <v>192</v>
      </c>
      <c r="E10" s="9" t="s">
        <v>192</v>
      </c>
    </row>
    <row r="11" customFormat="false" ht="39.55" hidden="false" customHeight="false" outlineLevel="0" collapsed="false">
      <c r="A11" s="6" t="s">
        <v>150</v>
      </c>
      <c r="B11" s="6" t="s">
        <v>151</v>
      </c>
      <c r="C11" s="6" t="s">
        <v>193</v>
      </c>
      <c r="D11" s="6" t="s">
        <v>194</v>
      </c>
      <c r="E11" s="6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3" t="s">
        <v>2</v>
      </c>
      <c r="B1" s="3" t="s">
        <v>196</v>
      </c>
      <c r="C1" s="3" t="s">
        <v>197</v>
      </c>
      <c r="D1" s="3" t="s">
        <v>198</v>
      </c>
    </row>
    <row r="2" customFormat="false" ht="15" hidden="false" customHeight="false" outlineLevel="0" collapsed="false">
      <c r="A2" s="10" t="s">
        <v>7</v>
      </c>
      <c r="B2" s="10" t="s">
        <v>199</v>
      </c>
      <c r="C2" s="10" t="s">
        <v>200</v>
      </c>
      <c r="D2" s="10" t="s">
        <v>201</v>
      </c>
    </row>
    <row r="3" customFormat="false" ht="15" hidden="false" customHeight="false" outlineLevel="0" collapsed="false">
      <c r="A3" s="10" t="s">
        <v>7</v>
      </c>
      <c r="B3" s="10" t="s">
        <v>202</v>
      </c>
      <c r="C3" s="10" t="s">
        <v>203</v>
      </c>
      <c r="D3" s="10" t="s">
        <v>201</v>
      </c>
    </row>
    <row r="4" customFormat="false" ht="15" hidden="false" customHeight="false" outlineLevel="0" collapsed="false">
      <c r="A4" s="10" t="s">
        <v>7</v>
      </c>
      <c r="B4" s="10" t="s">
        <v>204</v>
      </c>
      <c r="C4" s="10" t="s">
        <v>205</v>
      </c>
      <c r="D4" s="10" t="s">
        <v>201</v>
      </c>
    </row>
    <row r="5" customFormat="false" ht="15" hidden="false" customHeight="false" outlineLevel="0" collapsed="false">
      <c r="A5" s="10" t="s">
        <v>7</v>
      </c>
      <c r="B5" s="10" t="s">
        <v>206</v>
      </c>
      <c r="C5" s="10" t="s">
        <v>207</v>
      </c>
      <c r="D5" s="10" t="s">
        <v>201</v>
      </c>
    </row>
    <row r="6" customFormat="false" ht="15" hidden="false" customHeight="false" outlineLevel="0" collapsed="false">
      <c r="A6" s="10" t="s">
        <v>7</v>
      </c>
      <c r="B6" s="10" t="s">
        <v>208</v>
      </c>
      <c r="C6" s="10" t="s">
        <v>209</v>
      </c>
      <c r="D6" s="10" t="s">
        <v>201</v>
      </c>
    </row>
    <row r="7" customFormat="false" ht="15" hidden="false" customHeight="false" outlineLevel="0" collapsed="false">
      <c r="A7" s="10" t="s">
        <v>8</v>
      </c>
      <c r="B7" s="10" t="s">
        <v>210</v>
      </c>
      <c r="C7" s="10" t="s">
        <v>211</v>
      </c>
      <c r="D7" s="10" t="s">
        <v>201</v>
      </c>
    </row>
    <row r="8" customFormat="false" ht="15" hidden="false" customHeight="false" outlineLevel="0" collapsed="false">
      <c r="A8" s="10" t="s">
        <v>8</v>
      </c>
      <c r="B8" s="10" t="s">
        <v>212</v>
      </c>
      <c r="C8" s="10" t="s">
        <v>213</v>
      </c>
      <c r="D8" s="10" t="s">
        <v>201</v>
      </c>
    </row>
    <row r="9" customFormat="false" ht="15" hidden="false" customHeight="false" outlineLevel="0" collapsed="false">
      <c r="A9" s="10" t="s">
        <v>8</v>
      </c>
      <c r="B9" s="10" t="s">
        <v>214</v>
      </c>
      <c r="C9" s="10" t="s">
        <v>215</v>
      </c>
      <c r="D9" s="10" t="s">
        <v>201</v>
      </c>
    </row>
    <row r="10" customFormat="false" ht="15" hidden="false" customHeight="false" outlineLevel="0" collapsed="false">
      <c r="A10" s="10" t="s">
        <v>8</v>
      </c>
      <c r="B10" s="10" t="s">
        <v>216</v>
      </c>
      <c r="C10" s="10" t="s">
        <v>217</v>
      </c>
      <c r="D10" s="10" t="s">
        <v>201</v>
      </c>
    </row>
    <row r="11" customFormat="false" ht="15" hidden="false" customHeight="false" outlineLevel="0" collapsed="false">
      <c r="A11" s="10" t="s">
        <v>8</v>
      </c>
      <c r="B11" s="10" t="s">
        <v>218</v>
      </c>
      <c r="C11" s="10" t="s">
        <v>219</v>
      </c>
      <c r="D11" s="10" t="s">
        <v>201</v>
      </c>
    </row>
    <row r="12" customFormat="false" ht="15" hidden="false" customHeight="false" outlineLevel="0" collapsed="false">
      <c r="A12" s="10" t="s">
        <v>8</v>
      </c>
      <c r="B12" s="10" t="s">
        <v>220</v>
      </c>
      <c r="C12" s="10" t="s">
        <v>221</v>
      </c>
      <c r="D12" s="10" t="s">
        <v>201</v>
      </c>
    </row>
    <row r="13" customFormat="false" ht="15" hidden="false" customHeight="false" outlineLevel="0" collapsed="false">
      <c r="A13" s="10" t="s">
        <v>8</v>
      </c>
      <c r="B13" s="10" t="s">
        <v>222</v>
      </c>
      <c r="C13" s="10" t="s">
        <v>223</v>
      </c>
      <c r="D13" s="10" t="s">
        <v>201</v>
      </c>
    </row>
    <row r="14" customFormat="false" ht="15" hidden="false" customHeight="false" outlineLevel="0" collapsed="false">
      <c r="A14" s="10" t="s">
        <v>8</v>
      </c>
      <c r="B14" s="10" t="s">
        <v>224</v>
      </c>
      <c r="C14" s="10" t="s">
        <v>225</v>
      </c>
      <c r="D14" s="10" t="s">
        <v>201</v>
      </c>
    </row>
    <row r="15" customFormat="false" ht="15" hidden="false" customHeight="false" outlineLevel="0" collapsed="false">
      <c r="A15" s="10" t="s">
        <v>8</v>
      </c>
      <c r="B15" s="10" t="s">
        <v>226</v>
      </c>
      <c r="C15" s="10" t="s">
        <v>227</v>
      </c>
      <c r="D15" s="10" t="s">
        <v>201</v>
      </c>
    </row>
    <row r="16" customFormat="false" ht="15" hidden="false" customHeight="false" outlineLevel="0" collapsed="false">
      <c r="A16" s="10" t="s">
        <v>9</v>
      </c>
      <c r="B16" s="10" t="s">
        <v>228</v>
      </c>
      <c r="C16" s="10" t="s">
        <v>229</v>
      </c>
      <c r="D16" s="10" t="s">
        <v>201</v>
      </c>
    </row>
    <row r="17" customFormat="false" ht="15" hidden="false" customHeight="false" outlineLevel="0" collapsed="false">
      <c r="A17" s="10" t="s">
        <v>9</v>
      </c>
      <c r="B17" s="10" t="s">
        <v>230</v>
      </c>
      <c r="C17" s="10" t="s">
        <v>231</v>
      </c>
      <c r="D17" s="10" t="s">
        <v>201</v>
      </c>
    </row>
    <row r="18" customFormat="false" ht="15" hidden="false" customHeight="false" outlineLevel="0" collapsed="false">
      <c r="A18" s="10" t="s">
        <v>9</v>
      </c>
      <c r="B18" s="10" t="s">
        <v>232</v>
      </c>
      <c r="C18" s="10" t="s">
        <v>233</v>
      </c>
      <c r="D18" s="10" t="s">
        <v>201</v>
      </c>
    </row>
    <row r="19" customFormat="false" ht="15" hidden="false" customHeight="false" outlineLevel="0" collapsed="false">
      <c r="A19" s="10" t="s">
        <v>9</v>
      </c>
      <c r="B19" s="10" t="s">
        <v>234</v>
      </c>
      <c r="C19" s="10" t="s">
        <v>235</v>
      </c>
      <c r="D19" s="10" t="s">
        <v>201</v>
      </c>
    </row>
    <row r="20" customFormat="false" ht="15" hidden="false" customHeight="false" outlineLevel="0" collapsed="false">
      <c r="A20" s="10" t="s">
        <v>9</v>
      </c>
      <c r="B20" s="10" t="s">
        <v>236</v>
      </c>
      <c r="C20" s="10" t="s">
        <v>237</v>
      </c>
      <c r="D20" s="10" t="s">
        <v>201</v>
      </c>
    </row>
    <row r="21" customFormat="false" ht="15" hidden="false" customHeight="false" outlineLevel="0" collapsed="false">
      <c r="A21" s="10" t="s">
        <v>9</v>
      </c>
      <c r="B21" s="10" t="s">
        <v>238</v>
      </c>
      <c r="C21" s="10" t="s">
        <v>239</v>
      </c>
      <c r="D21" s="10" t="s">
        <v>201</v>
      </c>
    </row>
    <row r="22" customFormat="false" ht="15" hidden="false" customHeight="false" outlineLevel="0" collapsed="false">
      <c r="A22" s="10" t="s">
        <v>9</v>
      </c>
      <c r="B22" s="10" t="s">
        <v>240</v>
      </c>
      <c r="C22" s="10" t="s">
        <v>241</v>
      </c>
      <c r="D22" s="10" t="s">
        <v>201</v>
      </c>
    </row>
    <row r="23" customFormat="false" ht="15" hidden="false" customHeight="false" outlineLevel="0" collapsed="false">
      <c r="A23" s="10" t="s">
        <v>9</v>
      </c>
      <c r="B23" s="10" t="s">
        <v>242</v>
      </c>
      <c r="C23" s="10" t="s">
        <v>243</v>
      </c>
      <c r="D23" s="10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2026-06-02T08:07:24Z</dcterms:created>
  <dc:creator>openpyxl</dc:creator>
  <dc:description/>
  <dc:language>en-US</dc:language>
  <cp:lastModifiedBy/>
  <dcterms:modified xsi:type="dcterms:W3CDTF">2026-06-02T08:07:24Z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