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ppings" sheetId="2" state="visible" r:id="rId2"/>
    <sheet name="Crosswalk" sheetId="3" state="visible" r:id="rId3"/>
    <sheet name="Gaps" sheetId="4" state="visible" r:id="rId4"/>
  </sheets>
  <definedNames>
    <definedName name="_xlnm._FilterDatabase" localSheetId="1" hidden="1">'Mappings'!$A$1:$H$45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Policy-to-Control Crosswalk Summary</t>
        </is>
      </c>
    </row>
    <row r="3">
      <c r="A3" s="2" t="inlineStr">
        <is>
          <t>AI-assisted draft. A qualified human must review every mapping before use as audit evidence. Counts below are live Excel formulas over the Mappings sheet.</t>
        </is>
      </c>
    </row>
    <row r="5">
      <c r="A5" s="3" t="inlineStr">
        <is>
          <t>Framework</t>
        </is>
      </c>
      <c r="B5" s="3" t="inlineStr">
        <is>
          <t>Controls in framework</t>
        </is>
      </c>
      <c r="C5" s="3" t="inlineStr">
        <is>
          <t>Mappings</t>
        </is>
      </c>
      <c r="D5" s="3" t="inlineStr">
        <is>
          <t>Full</t>
        </is>
      </c>
      <c r="E5" s="3" t="inlineStr">
        <is>
          <t>Partial</t>
        </is>
      </c>
    </row>
    <row r="6">
      <c r="A6" s="4" t="inlineStr">
        <is>
          <t>NIST_SP_800-53_R5</t>
        </is>
      </c>
      <c r="B6" s="4" t="n">
        <v>21</v>
      </c>
      <c r="C6" s="4">
        <f>COUNTIF(Mappings!$C$2:$C$45,A6)</f>
        <v/>
      </c>
      <c r="D6" s="4">
        <f>COUNTIFS(Mappings!$C$2:$C$45,A6,Mappings!$F$2:$F$45,"full")</f>
        <v/>
      </c>
      <c r="E6" s="4">
        <f>COUNTIFS(Mappings!$C$2:$C$45,A6,Mappings!$F$2:$F$45,"partial")</f>
        <v/>
      </c>
    </row>
    <row r="7">
      <c r="A7" s="4" t="inlineStr">
        <is>
          <t>ISO_IEC_27001_2022</t>
        </is>
      </c>
      <c r="B7" s="4" t="n">
        <v>21</v>
      </c>
      <c r="C7" s="4">
        <f>COUNTIF(Mappings!$C$2:$C$45,A7)</f>
        <v/>
      </c>
      <c r="D7" s="4">
        <f>COUNTIFS(Mappings!$C$2:$C$45,A7,Mappings!$F$2:$F$45,"full")</f>
        <v/>
      </c>
      <c r="E7" s="4">
        <f>COUNTIFS(Mappings!$C$2:$C$45,A7,Mappings!$F$2:$F$45,"partial")</f>
        <v/>
      </c>
    </row>
    <row r="8">
      <c r="A8" s="4" t="inlineStr">
        <is>
          <t>SOC2_TSC_2017</t>
        </is>
      </c>
      <c r="B8" s="4" t="n">
        <v>21</v>
      </c>
      <c r="C8" s="4">
        <f>COUNTIF(Mappings!$C$2:$C$45,A8)</f>
        <v/>
      </c>
      <c r="D8" s="4">
        <f>COUNTIFS(Mappings!$C$2:$C$45,A8,Mappings!$F$2:$F$45,"full")</f>
        <v/>
      </c>
      <c r="E8" s="4">
        <f>COUNTIFS(Mappings!$C$2:$C$45,A8,Mappings!$F$2:$F$45,"partial")</f>
        <v/>
      </c>
    </row>
  </sheetData>
  <mergeCells count="1"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12" customWidth="1" min="4" max="4"/>
    <col width="30" customWidth="1" min="5" max="5"/>
    <col width="11" customWidth="1" min="6" max="6"/>
    <col width="11" customWidth="1" min="7" max="7"/>
    <col width="52" customWidth="1" min="8" max="8"/>
  </cols>
  <sheetData>
    <row r="1">
      <c r="A1" s="3" t="inlineStr">
        <is>
          <t>statement_id</t>
        </is>
      </c>
      <c r="B1" s="3" t="inlineStr">
        <is>
          <t>statement_text</t>
        </is>
      </c>
      <c r="C1" s="3" t="inlineStr">
        <is>
          <t>framework_id</t>
        </is>
      </c>
      <c r="D1" s="3" t="inlineStr">
        <is>
          <t>control_id</t>
        </is>
      </c>
      <c r="E1" s="3" t="inlineStr">
        <is>
          <t>control_title</t>
        </is>
      </c>
      <c r="F1" s="3" t="inlineStr">
        <is>
          <t>coverage</t>
        </is>
      </c>
      <c r="G1" s="3" t="inlineStr">
        <is>
          <t>confidence</t>
        </is>
      </c>
      <c r="H1" s="3" t="inlineStr">
        <is>
          <t>rationale</t>
        </is>
      </c>
    </row>
    <row r="2">
      <c r="A2" s="5" t="inlineStr">
        <is>
          <t>P1</t>
        </is>
      </c>
      <c r="B2" s="6" t="inlineStr">
        <is>
          <t>All employees must complete security awareness training within 30 days of their start date and repeat the training every twelve months.</t>
        </is>
      </c>
      <c r="C2" s="5" t="inlineStr">
        <is>
          <t>ISO_IEC_27001_2022</t>
        </is>
      </c>
      <c r="D2" s="5" t="inlineStr">
        <is>
          <t>A.6.3</t>
        </is>
      </c>
      <c r="E2" s="5" t="inlineStr">
        <is>
          <t>Information security awareness, education and training</t>
        </is>
      </c>
      <c r="F2" s="7" t="inlineStr">
        <is>
          <t>full</t>
        </is>
      </c>
      <c r="G2" s="5" t="n">
        <v>0.95</v>
      </c>
      <c r="H2" s="6" t="inlineStr">
        <is>
          <t>Requires security awareness training on hire and annually.</t>
        </is>
      </c>
    </row>
    <row r="3">
      <c r="A3" s="5" t="inlineStr">
        <is>
          <t>P1</t>
        </is>
      </c>
      <c r="B3" s="6" t="inlineStr">
        <is>
          <t>All employees must complete security awareness training within 30 days of their start date and repeat the training every twelve months.</t>
        </is>
      </c>
      <c r="C3" s="5" t="inlineStr">
        <is>
          <t>NIST_SP_800-53_R5</t>
        </is>
      </c>
      <c r="D3" s="5" t="inlineStr">
        <is>
          <t>AT-2</t>
        </is>
      </c>
      <c r="E3" s="5" t="inlineStr">
        <is>
          <t>Literacy Training and Awareness</t>
        </is>
      </c>
      <c r="F3" s="7" t="inlineStr">
        <is>
          <t>full</t>
        </is>
      </c>
      <c r="G3" s="5" t="n">
        <v>0.95</v>
      </c>
      <c r="H3" s="6" t="inlineStr">
        <is>
          <t>Requires awareness training on hire and annually.</t>
        </is>
      </c>
    </row>
    <row r="4">
      <c r="A4" s="5" t="inlineStr">
        <is>
          <t>P1</t>
        </is>
      </c>
      <c r="B4" s="6" t="inlineStr">
        <is>
          <t>All employees must complete security awareness training within 30 days of their start date and repeat the training every twelve months.</t>
        </is>
      </c>
      <c r="C4" s="5" t="inlineStr">
        <is>
          <t>SOC2_TSC_2017</t>
        </is>
      </c>
      <c r="D4" s="5" t="inlineStr">
        <is>
          <t>CC1.4</t>
        </is>
      </c>
      <c r="E4" s="5" t="inlineStr">
        <is>
          <t>Commitment to competence</t>
        </is>
      </c>
      <c r="F4" s="7" t="inlineStr">
        <is>
          <t>full</t>
        </is>
      </c>
      <c r="G4" s="5" t="n">
        <v>0.9</v>
      </c>
      <c r="H4" s="6" t="inlineStr">
        <is>
          <t>Develops competent personnel via required training.</t>
        </is>
      </c>
    </row>
    <row r="5">
      <c r="A5" s="5" t="inlineStr">
        <is>
          <t>P2</t>
        </is>
      </c>
      <c r="B5" s="6" t="inlineStr">
        <is>
          <t>Access to production systems is granted on a least-privilege basis. Requests must be approved by the system owner, and access rights are reviewed every quarter.</t>
        </is>
      </c>
      <c r="C5" s="5" t="inlineStr">
        <is>
          <t>ISO_IEC_27001_2022</t>
        </is>
      </c>
      <c r="D5" s="5" t="inlineStr">
        <is>
          <t>A.5.15</t>
        </is>
      </c>
      <c r="E5" s="5" t="inlineStr">
        <is>
          <t>Access control</t>
        </is>
      </c>
      <c r="F5" s="7" t="inlineStr">
        <is>
          <t>full</t>
        </is>
      </c>
      <c r="G5" s="5" t="n">
        <v>0.92</v>
      </c>
      <c r="H5" s="6" t="inlineStr">
        <is>
          <t>Defines least-privilege access control rules.</t>
        </is>
      </c>
    </row>
    <row r="6">
      <c r="A6" s="5" t="inlineStr">
        <is>
          <t>P2</t>
        </is>
      </c>
      <c r="B6" s="6" t="inlineStr">
        <is>
          <t>Access to production systems is granted on a least-privilege basis. Requests must be approved by the system owner, and access rights are reviewed every quarter.</t>
        </is>
      </c>
      <c r="C6" s="5" t="inlineStr">
        <is>
          <t>NIST_SP_800-53_R5</t>
        </is>
      </c>
      <c r="D6" s="5" t="inlineStr">
        <is>
          <t>AC-2</t>
        </is>
      </c>
      <c r="E6" s="5" t="inlineStr">
        <is>
          <t>Account Management</t>
        </is>
      </c>
      <c r="F6" s="7" t="inlineStr">
        <is>
          <t>full</t>
        </is>
      </c>
      <c r="G6" s="5" t="n">
        <v>0.88</v>
      </c>
      <c r="H6" s="6" t="inlineStr">
        <is>
          <t>Requires owner approval and quarterly access review.</t>
        </is>
      </c>
    </row>
    <row r="7">
      <c r="A7" s="5" t="inlineStr">
        <is>
          <t>P2</t>
        </is>
      </c>
      <c r="B7" s="6" t="inlineStr">
        <is>
          <t>Access to production systems is granted on a least-privilege basis. Requests must be approved by the system owner, and access rights are reviewed every quarter.</t>
        </is>
      </c>
      <c r="C7" s="5" t="inlineStr">
        <is>
          <t>NIST_SP_800-53_R5</t>
        </is>
      </c>
      <c r="D7" s="5" t="inlineStr">
        <is>
          <t>AC-6</t>
        </is>
      </c>
      <c r="E7" s="5" t="inlineStr">
        <is>
          <t>Least Privilege</t>
        </is>
      </c>
      <c r="F7" s="7" t="inlineStr">
        <is>
          <t>full</t>
        </is>
      </c>
      <c r="G7" s="5" t="n">
        <v>0.93</v>
      </c>
      <c r="H7" s="6" t="inlineStr">
        <is>
          <t>States access is granted on a least-privilege basis.</t>
        </is>
      </c>
    </row>
    <row r="8">
      <c r="A8" s="5" t="inlineStr">
        <is>
          <t>P2</t>
        </is>
      </c>
      <c r="B8" s="6" t="inlineStr">
        <is>
          <t>Access to production systems is granted on a least-privilege basis. Requests must be approved by the system owner, and access rights are reviewed every quarter.</t>
        </is>
      </c>
      <c r="C8" s="5" t="inlineStr">
        <is>
          <t>SOC2_TSC_2017</t>
        </is>
      </c>
      <c r="D8" s="5" t="inlineStr">
        <is>
          <t>CC6.1</t>
        </is>
      </c>
      <c r="E8" s="5" t="inlineStr">
        <is>
          <t>Logical access security measures</t>
        </is>
      </c>
      <c r="F8" s="7" t="inlineStr">
        <is>
          <t>full</t>
        </is>
      </c>
      <c r="G8" s="5" t="n">
        <v>0.92</v>
      </c>
      <c r="H8" s="6" t="inlineStr">
        <is>
          <t>Implements least-privilege logical access measures.</t>
        </is>
      </c>
    </row>
    <row r="9">
      <c r="A9" s="5" t="inlineStr">
        <is>
          <t>P2</t>
        </is>
      </c>
      <c r="B9" s="6" t="inlineStr">
        <is>
          <t>Access to production systems is granted on a least-privilege basis. Requests must be approved by the system owner, and access rights are reviewed every quarter.</t>
        </is>
      </c>
      <c r="C9" s="5" t="inlineStr">
        <is>
          <t>SOC2_TSC_2017</t>
        </is>
      </c>
      <c r="D9" s="5" t="inlineStr">
        <is>
          <t>CC6.2</t>
        </is>
      </c>
      <c r="E9" s="5" t="inlineStr">
        <is>
          <t>User registration and authorization</t>
        </is>
      </c>
      <c r="F9" s="7" t="inlineStr">
        <is>
          <t>full</t>
        </is>
      </c>
      <c r="G9" s="5" t="n">
        <v>0.88</v>
      </c>
      <c r="H9" s="6" t="inlineStr">
        <is>
          <t>Requires owner authorization before granting access.</t>
        </is>
      </c>
    </row>
    <row r="10">
      <c r="A10" s="5" t="inlineStr">
        <is>
          <t>P2</t>
        </is>
      </c>
      <c r="B10" s="6" t="inlineStr">
        <is>
          <t>Access to production systems is granted on a least-privilege basis. Requests must be approved by the system owner, and access rights are reviewed every quarter.</t>
        </is>
      </c>
      <c r="C10" s="5" t="inlineStr">
        <is>
          <t>SOC2_TSC_2017</t>
        </is>
      </c>
      <c r="D10" s="5" t="inlineStr">
        <is>
          <t>CC6.3</t>
        </is>
      </c>
      <c r="E10" s="5" t="inlineStr">
        <is>
          <t>Access based on roles and responsibilities</t>
        </is>
      </c>
      <c r="F10" s="8" t="inlineStr">
        <is>
          <t>partial</t>
        </is>
      </c>
      <c r="G10" s="5" t="n">
        <v>0.74</v>
      </c>
      <c r="H10" s="6" t="inlineStr">
        <is>
          <t>Requires quarterly review of access rights.</t>
        </is>
      </c>
    </row>
    <row r="11">
      <c r="A11" s="5" t="inlineStr">
        <is>
          <t>P3</t>
        </is>
      </c>
      <c r="B11" s="6" t="inlineStr">
        <is>
          <t>Multi-factor authentication is required for all remote access to the corporate network and for any access to systems holding regulated data.</t>
        </is>
      </c>
      <c r="C11" s="5" t="inlineStr">
        <is>
          <t>ISO_IEC_27001_2022</t>
        </is>
      </c>
      <c r="D11" s="5" t="inlineStr">
        <is>
          <t>A.5.17</t>
        </is>
      </c>
      <c r="E11" s="5" t="inlineStr">
        <is>
          <t>Authentication information</t>
        </is>
      </c>
      <c r="F11" s="8" t="inlineStr">
        <is>
          <t>partial</t>
        </is>
      </c>
      <c r="G11" s="5" t="n">
        <v>0.68</v>
      </c>
      <c r="H11" s="6" t="inlineStr">
        <is>
          <t>Touches handling of authentication information.</t>
        </is>
      </c>
    </row>
    <row r="12">
      <c r="A12" s="5" t="inlineStr">
        <is>
          <t>P3</t>
        </is>
      </c>
      <c r="B12" s="6" t="inlineStr">
        <is>
          <t>Multi-factor authentication is required for all remote access to the corporate network and for any access to systems holding regulated data.</t>
        </is>
      </c>
      <c r="C12" s="5" t="inlineStr">
        <is>
          <t>ISO_IEC_27001_2022</t>
        </is>
      </c>
      <c r="D12" s="5" t="inlineStr">
        <is>
          <t>A.8.5</t>
        </is>
      </c>
      <c r="E12" s="5" t="inlineStr">
        <is>
          <t>Secure authentication</t>
        </is>
      </c>
      <c r="F12" s="7" t="inlineStr">
        <is>
          <t>full</t>
        </is>
      </c>
      <c r="G12" s="5" t="n">
        <v>0.91</v>
      </c>
      <c r="H12" s="6" t="inlineStr">
        <is>
          <t>Requires MFA, a secure authentication mechanism.</t>
        </is>
      </c>
    </row>
    <row r="13">
      <c r="A13" s="5" t="inlineStr">
        <is>
          <t>P3</t>
        </is>
      </c>
      <c r="B13" s="6" t="inlineStr">
        <is>
          <t>Multi-factor authentication is required for all remote access to the corporate network and for any access to systems holding regulated data.</t>
        </is>
      </c>
      <c r="C13" s="5" t="inlineStr">
        <is>
          <t>NIST_SP_800-53_R5</t>
        </is>
      </c>
      <c r="D13" s="5" t="inlineStr">
        <is>
          <t>AC-17</t>
        </is>
      </c>
      <c r="E13" s="5" t="inlineStr">
        <is>
          <t>Remote Access</t>
        </is>
      </c>
      <c r="F13" s="7" t="inlineStr">
        <is>
          <t>full</t>
        </is>
      </c>
      <c r="G13" s="5" t="n">
        <v>0.92</v>
      </c>
      <c r="H13" s="6" t="inlineStr">
        <is>
          <t>Requires MFA specifically for remote access.</t>
        </is>
      </c>
    </row>
    <row r="14">
      <c r="A14" s="5" t="inlineStr">
        <is>
          <t>P3</t>
        </is>
      </c>
      <c r="B14" s="6" t="inlineStr">
        <is>
          <t>Multi-factor authentication is required for all remote access to the corporate network and for any access to systems holding regulated data.</t>
        </is>
      </c>
      <c r="C14" s="5" t="inlineStr">
        <is>
          <t>NIST_SP_800-53_R5</t>
        </is>
      </c>
      <c r="D14" s="5" t="inlineStr">
        <is>
          <t>IA-2</t>
        </is>
      </c>
      <c r="E14" s="5" t="inlineStr">
        <is>
          <t>Identification and Authentication (Organizational Users)</t>
        </is>
      </c>
      <c r="F14" s="7" t="inlineStr">
        <is>
          <t>full</t>
        </is>
      </c>
      <c r="G14" s="5" t="n">
        <v>0.9</v>
      </c>
      <c r="H14" s="6" t="inlineStr">
        <is>
          <t>Requires MFA to authenticate users for access.</t>
        </is>
      </c>
    </row>
    <row r="15">
      <c r="A15" s="5" t="inlineStr">
        <is>
          <t>P3</t>
        </is>
      </c>
      <c r="B15" s="6" t="inlineStr">
        <is>
          <t>Multi-factor authentication is required for all remote access to the corporate network and for any access to systems holding regulated data.</t>
        </is>
      </c>
      <c r="C15" s="5" t="inlineStr">
        <is>
          <t>SOC2_TSC_2017</t>
        </is>
      </c>
      <c r="D15" s="5" t="inlineStr">
        <is>
          <t>CC6.1</t>
        </is>
      </c>
      <c r="E15" s="5" t="inlineStr">
        <is>
          <t>Logical access security measures</t>
        </is>
      </c>
      <c r="F15" s="7" t="inlineStr">
        <is>
          <t>full</t>
        </is>
      </c>
      <c r="G15" s="5" t="n">
        <v>0.9</v>
      </c>
      <c r="H15" s="6" t="inlineStr">
        <is>
          <t>Requires MFA as a logical access measure.</t>
        </is>
      </c>
    </row>
    <row r="16">
      <c r="A16" s="5" t="inlineStr">
        <is>
          <t>P3</t>
        </is>
      </c>
      <c r="B16" s="6" t="inlineStr">
        <is>
          <t>Multi-factor authentication is required for all remote access to the corporate network and for any access to systems holding regulated data.</t>
        </is>
      </c>
      <c r="C16" s="5" t="inlineStr">
        <is>
          <t>SOC2_TSC_2017</t>
        </is>
      </c>
      <c r="D16" s="5" t="inlineStr">
        <is>
          <t>CC6.6</t>
        </is>
      </c>
      <c r="E16" s="5" t="inlineStr">
        <is>
          <t>Protection against external threats</t>
        </is>
      </c>
      <c r="F16" s="7" t="inlineStr">
        <is>
          <t>full</t>
        </is>
      </c>
      <c r="G16" s="5" t="n">
        <v>0.89</v>
      </c>
      <c r="H16" s="6" t="inlineStr">
        <is>
          <t>Protects remote access from outside the boundary.</t>
        </is>
      </c>
    </row>
    <row r="17">
      <c r="A17" s="5" t="inlineStr">
        <is>
          <t>P4</t>
        </is>
      </c>
      <c r="B17" s="6" t="inlineStr">
        <is>
          <t>Passwords must be at least 14 characters, are rotated at least annually, and are stored only as salted hashes. Shared credentials are prohibited.</t>
        </is>
      </c>
      <c r="C17" s="5" t="inlineStr">
        <is>
          <t>ISO_IEC_27001_2022</t>
        </is>
      </c>
      <c r="D17" s="5" t="inlineStr">
        <is>
          <t>A.5.17</t>
        </is>
      </c>
      <c r="E17" s="5" t="inlineStr">
        <is>
          <t>Authentication information</t>
        </is>
      </c>
      <c r="F17" s="7" t="inlineStr">
        <is>
          <t>full</t>
        </is>
      </c>
      <c r="G17" s="5" t="n">
        <v>0.93</v>
      </c>
      <c r="H17" s="6" t="inlineStr">
        <is>
          <t>Governs passwords as authentication information.</t>
        </is>
      </c>
    </row>
    <row r="18">
      <c r="A18" s="5" t="inlineStr">
        <is>
          <t>P4</t>
        </is>
      </c>
      <c r="B18" s="6" t="inlineStr">
        <is>
          <t>Passwords must be at least 14 characters, are rotated at least annually, and are stored only as salted hashes. Shared credentials are prohibited.</t>
        </is>
      </c>
      <c r="C18" s="5" t="inlineStr">
        <is>
          <t>NIST_SP_800-53_R5</t>
        </is>
      </c>
      <c r="D18" s="5" t="inlineStr">
        <is>
          <t>IA-5</t>
        </is>
      </c>
      <c r="E18" s="5" t="inlineStr">
        <is>
          <t>Authenticator Management</t>
        </is>
      </c>
      <c r="F18" s="7" t="inlineStr">
        <is>
          <t>full</t>
        </is>
      </c>
      <c r="G18" s="5" t="n">
        <v>0.9399999999999999</v>
      </c>
      <c r="H18" s="6" t="inlineStr">
        <is>
          <t>Sets password length, rotation, and hashed storage.</t>
        </is>
      </c>
    </row>
    <row r="19">
      <c r="A19" s="5" t="inlineStr">
        <is>
          <t>P4</t>
        </is>
      </c>
      <c r="B19" s="6" t="inlineStr">
        <is>
          <t>Passwords must be at least 14 characters, are rotated at least annually, and are stored only as salted hashes. Shared credentials are prohibited.</t>
        </is>
      </c>
      <c r="C19" s="5" t="inlineStr">
        <is>
          <t>SOC2_TSC_2017</t>
        </is>
      </c>
      <c r="D19" s="5" t="inlineStr">
        <is>
          <t>CC6.1</t>
        </is>
      </c>
      <c r="E19" s="5" t="inlineStr">
        <is>
          <t>Logical access security measures</t>
        </is>
      </c>
      <c r="F19" s="7" t="inlineStr">
        <is>
          <t>full</t>
        </is>
      </c>
      <c r="G19" s="5" t="n">
        <v>0.91</v>
      </c>
      <c r="H19" s="6" t="inlineStr">
        <is>
          <t>Sets credential strength and storage requirements.</t>
        </is>
      </c>
    </row>
    <row r="20">
      <c r="A20" s="5" t="inlineStr">
        <is>
          <t>P5</t>
        </is>
      </c>
      <c r="B20" s="6" t="inlineStr">
        <is>
          <t>All customer data is encrypted at rest using AES-256 and encrypted in transit using TLS 1.2 or higher.</t>
        </is>
      </c>
      <c r="C20" s="5" t="inlineStr">
        <is>
          <t>ISO_IEC_27001_2022</t>
        </is>
      </c>
      <c r="D20" s="5" t="inlineStr">
        <is>
          <t>A.8.20</t>
        </is>
      </c>
      <c r="E20" s="5" t="inlineStr">
        <is>
          <t>Networks security</t>
        </is>
      </c>
      <c r="F20" s="8" t="inlineStr">
        <is>
          <t>partial</t>
        </is>
      </c>
      <c r="G20" s="5" t="n">
        <v>0.38</v>
      </c>
      <c r="H20" s="6" t="inlineStr">
        <is>
          <t>Mentions the corporate network in passing.</t>
        </is>
      </c>
    </row>
    <row r="21">
      <c r="A21" s="5" t="inlineStr">
        <is>
          <t>P5</t>
        </is>
      </c>
      <c r="B21" s="6" t="inlineStr">
        <is>
          <t>All customer data is encrypted at rest using AES-256 and encrypted in transit using TLS 1.2 or higher.</t>
        </is>
      </c>
      <c r="C21" s="5" t="inlineStr">
        <is>
          <t>ISO_IEC_27001_2022</t>
        </is>
      </c>
      <c r="D21" s="5" t="inlineStr">
        <is>
          <t>A.8.24</t>
        </is>
      </c>
      <c r="E21" s="5" t="inlineStr">
        <is>
          <t>Use of cryptography</t>
        </is>
      </c>
      <c r="F21" s="7" t="inlineStr">
        <is>
          <t>full</t>
        </is>
      </c>
      <c r="G21" s="5" t="n">
        <v>0.92</v>
      </c>
      <c r="H21" s="6" t="inlineStr">
        <is>
          <t>Specifies cryptography for data at rest and in transit.</t>
        </is>
      </c>
    </row>
    <row r="22">
      <c r="A22" s="5" t="inlineStr">
        <is>
          <t>P5</t>
        </is>
      </c>
      <c r="B22" s="6" t="inlineStr">
        <is>
          <t>All customer data is encrypted at rest using AES-256 and encrypted in transit using TLS 1.2 or higher.</t>
        </is>
      </c>
      <c r="C22" s="5" t="inlineStr">
        <is>
          <t>NIST_SP_800-53_R5</t>
        </is>
      </c>
      <c r="D22" s="5" t="inlineStr">
        <is>
          <t>SC-13</t>
        </is>
      </c>
      <c r="E22" s="5" t="inlineStr">
        <is>
          <t>Cryptographic Protection</t>
        </is>
      </c>
      <c r="F22" s="7" t="inlineStr">
        <is>
          <t>full</t>
        </is>
      </c>
      <c r="G22" s="5" t="n">
        <v>0.85</v>
      </c>
      <c r="H22" s="6" t="inlineStr">
        <is>
          <t>Specifies approved cryptography (AES-256, TLS).</t>
        </is>
      </c>
    </row>
    <row r="23">
      <c r="A23" s="5" t="inlineStr">
        <is>
          <t>P5</t>
        </is>
      </c>
      <c r="B23" s="6" t="inlineStr">
        <is>
          <t>All customer data is encrypted at rest using AES-256 and encrypted in transit using TLS 1.2 or higher.</t>
        </is>
      </c>
      <c r="C23" s="5" t="inlineStr">
        <is>
          <t>NIST_SP_800-53_R5</t>
        </is>
      </c>
      <c r="D23" s="5" t="inlineStr">
        <is>
          <t>SC-28</t>
        </is>
      </c>
      <c r="E23" s="5" t="inlineStr">
        <is>
          <t>Protection of Information at Rest</t>
        </is>
      </c>
      <c r="F23" s="7" t="inlineStr">
        <is>
          <t>full</t>
        </is>
      </c>
      <c r="G23" s="5" t="n">
        <v>0.93</v>
      </c>
      <c r="H23" s="6" t="inlineStr">
        <is>
          <t>Requires customer data encrypted at rest.</t>
        </is>
      </c>
    </row>
    <row r="24">
      <c r="A24" s="5" t="inlineStr">
        <is>
          <t>P5</t>
        </is>
      </c>
      <c r="B24" s="6" t="inlineStr">
        <is>
          <t>All customer data is encrypted at rest using AES-256 and encrypted in transit using TLS 1.2 or higher.</t>
        </is>
      </c>
      <c r="C24" s="5" t="inlineStr">
        <is>
          <t>NIST_SP_800-53_R5</t>
        </is>
      </c>
      <c r="D24" s="5" t="inlineStr">
        <is>
          <t>SC-7</t>
        </is>
      </c>
      <c r="E24" s="5" t="inlineStr">
        <is>
          <t>Boundary Protection</t>
        </is>
      </c>
      <c r="F24" s="8" t="inlineStr">
        <is>
          <t>partial</t>
        </is>
      </c>
      <c r="G24" s="5" t="n">
        <v>0.4</v>
      </c>
      <c r="H24" s="6" t="inlineStr">
        <is>
          <t>Mentions the network, loosely related to boundaries.</t>
        </is>
      </c>
    </row>
    <row r="25">
      <c r="A25" s="5" t="inlineStr">
        <is>
          <t>P5</t>
        </is>
      </c>
      <c r="B25" s="6" t="inlineStr">
        <is>
          <t>All customer data is encrypted at rest using AES-256 and encrypted in transit using TLS 1.2 or higher.</t>
        </is>
      </c>
      <c r="C25" s="5" t="inlineStr">
        <is>
          <t>SOC2_TSC_2017</t>
        </is>
      </c>
      <c r="D25" s="5" t="inlineStr">
        <is>
          <t>C1.2</t>
        </is>
      </c>
      <c r="E25" s="5" t="inlineStr">
        <is>
          <t>Protection of confidential information</t>
        </is>
      </c>
      <c r="F25" s="8" t="inlineStr">
        <is>
          <t>partial</t>
        </is>
      </c>
      <c r="G25" s="5" t="n">
        <v>0.7</v>
      </c>
      <c r="H25" s="6" t="inlineStr">
        <is>
          <t>Protects confidential customer data at rest.</t>
        </is>
      </c>
    </row>
    <row r="26">
      <c r="A26" s="5" t="inlineStr">
        <is>
          <t>P5</t>
        </is>
      </c>
      <c r="B26" s="6" t="inlineStr">
        <is>
          <t>All customer data is encrypted at rest using AES-256 and encrypted in transit using TLS 1.2 or higher.</t>
        </is>
      </c>
      <c r="C26" s="5" t="inlineStr">
        <is>
          <t>SOC2_TSC_2017</t>
        </is>
      </c>
      <c r="D26" s="5" t="inlineStr">
        <is>
          <t>CC6.7</t>
        </is>
      </c>
      <c r="E26" s="5" t="inlineStr">
        <is>
          <t>Restriction of information in transit</t>
        </is>
      </c>
      <c r="F26" s="7" t="inlineStr">
        <is>
          <t>full</t>
        </is>
      </c>
      <c r="G26" s="5" t="n">
        <v>0.92</v>
      </c>
      <c r="H26" s="6" t="inlineStr">
        <is>
          <t>Protects data in transit via TLS.</t>
        </is>
      </c>
    </row>
    <row r="27">
      <c r="A27" s="5" t="inlineStr">
        <is>
          <t>P6</t>
        </is>
      </c>
      <c r="B27" s="6" t="inlineStr">
        <is>
          <t>Security-relevant logs from production systems are collected centrally, retained for at least one year, and reviewed weekly for anomalous activity.</t>
        </is>
      </c>
      <c r="C27" s="5" t="inlineStr">
        <is>
          <t>ISO_IEC_27001_2022</t>
        </is>
      </c>
      <c r="D27" s="5" t="inlineStr">
        <is>
          <t>A.8.15</t>
        </is>
      </c>
      <c r="E27" s="5" t="inlineStr">
        <is>
          <t>Logging</t>
        </is>
      </c>
      <c r="F27" s="7" t="inlineStr">
        <is>
          <t>full</t>
        </is>
      </c>
      <c r="G27" s="5" t="n">
        <v>0.9</v>
      </c>
      <c r="H27" s="6" t="inlineStr">
        <is>
          <t>Requires central log collection and retention.</t>
        </is>
      </c>
    </row>
    <row r="28">
      <c r="A28" s="5" t="inlineStr">
        <is>
          <t>P6</t>
        </is>
      </c>
      <c r="B28" s="6" t="inlineStr">
        <is>
          <t>Security-relevant logs from production systems are collected centrally, retained for at least one year, and reviewed weekly for anomalous activity.</t>
        </is>
      </c>
      <c r="C28" s="5" t="inlineStr">
        <is>
          <t>ISO_IEC_27001_2022</t>
        </is>
      </c>
      <c r="D28" s="5" t="inlineStr">
        <is>
          <t>A.8.16</t>
        </is>
      </c>
      <c r="E28" s="5" t="inlineStr">
        <is>
          <t>Monitoring activities</t>
        </is>
      </c>
      <c r="F28" s="8" t="inlineStr">
        <is>
          <t>partial</t>
        </is>
      </c>
      <c r="G28" s="5" t="n">
        <v>0.7</v>
      </c>
      <c r="H28" s="6" t="inlineStr">
        <is>
          <t>Requires weekly review for anomalous activity.</t>
        </is>
      </c>
    </row>
    <row r="29">
      <c r="A29" s="5" t="inlineStr">
        <is>
          <t>P6</t>
        </is>
      </c>
      <c r="B29" s="6" t="inlineStr">
        <is>
          <t>Security-relevant logs from production systems are collected centrally, retained for at least one year, and reviewed weekly for anomalous activity.</t>
        </is>
      </c>
      <c r="C29" s="5" t="inlineStr">
        <is>
          <t>NIST_SP_800-53_R5</t>
        </is>
      </c>
      <c r="D29" s="5" t="inlineStr">
        <is>
          <t>AU-2</t>
        </is>
      </c>
      <c r="E29" s="5" t="inlineStr">
        <is>
          <t>Event Logging</t>
        </is>
      </c>
      <c r="F29" s="8" t="inlineStr">
        <is>
          <t>partial</t>
        </is>
      </c>
      <c r="G29" s="5" t="n">
        <v>0.7</v>
      </c>
      <c r="H29" s="6" t="inlineStr">
        <is>
          <t>Implies which events are logged centrally.</t>
        </is>
      </c>
    </row>
    <row r="30">
      <c r="A30" s="5" t="inlineStr">
        <is>
          <t>P6</t>
        </is>
      </c>
      <c r="B30" s="6" t="inlineStr">
        <is>
          <t>Security-relevant logs from production systems are collected centrally, retained for at least one year, and reviewed weekly for anomalous activity.</t>
        </is>
      </c>
      <c r="C30" s="5" t="inlineStr">
        <is>
          <t>NIST_SP_800-53_R5</t>
        </is>
      </c>
      <c r="D30" s="5" t="inlineStr">
        <is>
          <t>AU-6</t>
        </is>
      </c>
      <c r="E30" s="5" t="inlineStr">
        <is>
          <t>Audit Record Review, Analysis, and Reporting</t>
        </is>
      </c>
      <c r="F30" s="7" t="inlineStr">
        <is>
          <t>full</t>
        </is>
      </c>
      <c r="G30" s="5" t="n">
        <v>0.9</v>
      </c>
      <c r="H30" s="6" t="inlineStr">
        <is>
          <t>Requires weekly review of logs for anomalies.</t>
        </is>
      </c>
    </row>
    <row r="31">
      <c r="A31" s="5" t="inlineStr">
        <is>
          <t>P6</t>
        </is>
      </c>
      <c r="B31" s="6" t="inlineStr">
        <is>
          <t>Security-relevant logs from production systems are collected centrally, retained for at least one year, and reviewed weekly for anomalous activity.</t>
        </is>
      </c>
      <c r="C31" s="5" t="inlineStr">
        <is>
          <t>SOC2_TSC_2017</t>
        </is>
      </c>
      <c r="D31" s="5" t="inlineStr">
        <is>
          <t>CC4.1</t>
        </is>
      </c>
      <c r="E31" s="5" t="inlineStr">
        <is>
          <t>Monitoring of controls</t>
        </is>
      </c>
      <c r="F31" s="8" t="inlineStr">
        <is>
          <t>partial</t>
        </is>
      </c>
      <c r="G31" s="5" t="n">
        <v>0.42</v>
      </c>
      <c r="H31" s="6" t="inlineStr">
        <is>
          <t>Loosely resembles monitoring of controls.</t>
        </is>
      </c>
    </row>
    <row r="32">
      <c r="A32" s="5" t="inlineStr">
        <is>
          <t>P6</t>
        </is>
      </c>
      <c r="B32" s="6" t="inlineStr">
        <is>
          <t>Security-relevant logs from production systems are collected centrally, retained for at least one year, and reviewed weekly for anomalous activity.</t>
        </is>
      </c>
      <c r="C32" s="5" t="inlineStr">
        <is>
          <t>SOC2_TSC_2017</t>
        </is>
      </c>
      <c r="D32" s="5" t="inlineStr">
        <is>
          <t>CC7.2</t>
        </is>
      </c>
      <c r="E32" s="5" t="inlineStr">
        <is>
          <t>Monitoring for anomalies</t>
        </is>
      </c>
      <c r="F32" s="7" t="inlineStr">
        <is>
          <t>full</t>
        </is>
      </c>
      <c r="G32" s="5" t="n">
        <v>0.9</v>
      </c>
      <c r="H32" s="6" t="inlineStr">
        <is>
          <t>Monitors logs for anomalous activity.</t>
        </is>
      </c>
    </row>
    <row r="33">
      <c r="A33" s="5" t="inlineStr">
        <is>
          <t>P7</t>
        </is>
      </c>
      <c r="B33" s="6" t="inlineStr">
        <is>
          <t>Suspected security incidents must be reported to the security team within one hour of discovery. The team follows a documented incident response runbook.</t>
        </is>
      </c>
      <c r="C33" s="5" t="inlineStr">
        <is>
          <t>ISO_IEC_27001_2022</t>
        </is>
      </c>
      <c r="D33" s="5" t="inlineStr">
        <is>
          <t>A.5.24</t>
        </is>
      </c>
      <c r="E33" s="5" t="inlineStr">
        <is>
          <t>Information security incident management planning and preparation</t>
        </is>
      </c>
      <c r="F33" s="7" t="inlineStr">
        <is>
          <t>full</t>
        </is>
      </c>
      <c r="G33" s="5" t="n">
        <v>0.88</v>
      </c>
      <c r="H33" s="6" t="inlineStr">
        <is>
          <t>References a documented incident response runbook.</t>
        </is>
      </c>
    </row>
    <row r="34">
      <c r="A34" s="5" t="inlineStr">
        <is>
          <t>P7</t>
        </is>
      </c>
      <c r="B34" s="6" t="inlineStr">
        <is>
          <t>Suspected security incidents must be reported to the security team within one hour of discovery. The team follows a documented incident response runbook.</t>
        </is>
      </c>
      <c r="C34" s="5" t="inlineStr">
        <is>
          <t>ISO_IEC_27001_2022</t>
        </is>
      </c>
      <c r="D34" s="5" t="inlineStr">
        <is>
          <t>A.5.26</t>
        </is>
      </c>
      <c r="E34" s="5" t="inlineStr">
        <is>
          <t>Response to information security incidents</t>
        </is>
      </c>
      <c r="F34" s="7" t="inlineStr">
        <is>
          <t>full</t>
        </is>
      </c>
      <c r="G34" s="5" t="n">
        <v>0.9</v>
      </c>
      <c r="H34" s="6" t="inlineStr">
        <is>
          <t>Requires response to suspected incidents.</t>
        </is>
      </c>
    </row>
    <row r="35">
      <c r="A35" s="5" t="inlineStr">
        <is>
          <t>P7</t>
        </is>
      </c>
      <c r="B35" s="6" t="inlineStr">
        <is>
          <t>Suspected security incidents must be reported to the security team within one hour of discovery. The team follows a documented incident response runbook.</t>
        </is>
      </c>
      <c r="C35" s="5" t="inlineStr">
        <is>
          <t>NIST_SP_800-53_R5</t>
        </is>
      </c>
      <c r="D35" s="5" t="inlineStr">
        <is>
          <t>IR-6</t>
        </is>
      </c>
      <c r="E35" s="5" t="inlineStr">
        <is>
          <t>Incident Reporting</t>
        </is>
      </c>
      <c r="F35" s="7" t="inlineStr">
        <is>
          <t>full</t>
        </is>
      </c>
      <c r="G35" s="5" t="n">
        <v>0.92</v>
      </c>
      <c r="H35" s="6" t="inlineStr">
        <is>
          <t>Requires incident reporting within one hour.</t>
        </is>
      </c>
    </row>
    <row r="36">
      <c r="A36" s="5" t="inlineStr">
        <is>
          <t>P7</t>
        </is>
      </c>
      <c r="B36" s="6" t="inlineStr">
        <is>
          <t>Suspected security incidents must be reported to the security team within one hour of discovery. The team follows a documented incident response runbook.</t>
        </is>
      </c>
      <c r="C36" s="5" t="inlineStr">
        <is>
          <t>SOC2_TSC_2017</t>
        </is>
      </c>
      <c r="D36" s="5" t="inlineStr">
        <is>
          <t>CC7.3</t>
        </is>
      </c>
      <c r="E36" s="5" t="inlineStr">
        <is>
          <t>Evaluation of security events</t>
        </is>
      </c>
      <c r="F36" s="7" t="inlineStr">
        <is>
          <t>full</t>
        </is>
      </c>
      <c r="G36" s="5" t="n">
        <v>0.88</v>
      </c>
      <c r="H36" s="6" t="inlineStr">
        <is>
          <t>Evaluates and reports suspected incidents.</t>
        </is>
      </c>
    </row>
    <row r="37">
      <c r="A37" s="5" t="inlineStr">
        <is>
          <t>P7</t>
        </is>
      </c>
      <c r="B37" s="6" t="inlineStr">
        <is>
          <t>Suspected security incidents must be reported to the security team within one hour of discovery. The team follows a documented incident response runbook.</t>
        </is>
      </c>
      <c r="C37" s="5" t="inlineStr">
        <is>
          <t>SOC2_TSC_2017</t>
        </is>
      </c>
      <c r="D37" s="5" t="inlineStr">
        <is>
          <t>CC7.4</t>
        </is>
      </c>
      <c r="E37" s="5" t="inlineStr">
        <is>
          <t>Incident response</t>
        </is>
      </c>
      <c r="F37" s="7" t="inlineStr">
        <is>
          <t>full</t>
        </is>
      </c>
      <c r="G37" s="5" t="n">
        <v>0.9</v>
      </c>
      <c r="H37" s="6" t="inlineStr">
        <is>
          <t>Executes a documented incident response runbook.</t>
        </is>
      </c>
    </row>
    <row r="38">
      <c r="A38" s="5" t="inlineStr">
        <is>
          <t>P8</t>
        </is>
      </c>
      <c r="B38" s="6" t="inlineStr">
        <is>
          <t>Vulnerability scans of internet-facing systems are performed monthly, and critical findings are remediated within fifteen days.</t>
        </is>
      </c>
      <c r="C38" s="5" t="inlineStr">
        <is>
          <t>ISO_IEC_27001_2022</t>
        </is>
      </c>
      <c r="D38" s="5" t="inlineStr">
        <is>
          <t>A.8.8</t>
        </is>
      </c>
      <c r="E38" s="5" t="inlineStr">
        <is>
          <t>Management of technical vulnerabilities</t>
        </is>
      </c>
      <c r="F38" s="7" t="inlineStr">
        <is>
          <t>full</t>
        </is>
      </c>
      <c r="G38" s="5" t="n">
        <v>0.91</v>
      </c>
      <c r="H38" s="6" t="inlineStr">
        <is>
          <t>Requires vulnerability scanning and remediation.</t>
        </is>
      </c>
    </row>
    <row r="39">
      <c r="A39" s="5" t="inlineStr">
        <is>
          <t>P8</t>
        </is>
      </c>
      <c r="B39" s="6" t="inlineStr">
        <is>
          <t>Vulnerability scans of internet-facing systems are performed monthly, and critical findings are remediated within fifteen days.</t>
        </is>
      </c>
      <c r="C39" s="5" t="inlineStr">
        <is>
          <t>NIST_SP_800-53_R5</t>
        </is>
      </c>
      <c r="D39" s="5" t="inlineStr">
        <is>
          <t>RA-5</t>
        </is>
      </c>
      <c r="E39" s="5" t="inlineStr">
        <is>
          <t>Vulnerability Monitoring and Scanning</t>
        </is>
      </c>
      <c r="F39" s="7" t="inlineStr">
        <is>
          <t>full</t>
        </is>
      </c>
      <c r="G39" s="5" t="n">
        <v>0.91</v>
      </c>
      <c r="H39" s="6" t="inlineStr">
        <is>
          <t>Requires monthly vulnerability scanning.</t>
        </is>
      </c>
    </row>
    <row r="40">
      <c r="A40" s="5" t="inlineStr">
        <is>
          <t>P8</t>
        </is>
      </c>
      <c r="B40" s="6" t="inlineStr">
        <is>
          <t>Vulnerability scans of internet-facing systems are performed monthly, and critical findings are remediated within fifteen days.</t>
        </is>
      </c>
      <c r="C40" s="5" t="inlineStr">
        <is>
          <t>NIST_SP_800-53_R5</t>
        </is>
      </c>
      <c r="D40" s="5" t="inlineStr">
        <is>
          <t>SI-2</t>
        </is>
      </c>
      <c r="E40" s="5" t="inlineStr">
        <is>
          <t>Flaw Remediation</t>
        </is>
      </c>
      <c r="F40" s="8" t="inlineStr">
        <is>
          <t>partial</t>
        </is>
      </c>
      <c r="G40" s="5" t="n">
        <v>0.75</v>
      </c>
      <c r="H40" s="6" t="inlineStr">
        <is>
          <t>Requires remediation of critical findings.</t>
        </is>
      </c>
    </row>
    <row r="41">
      <c r="A41" s="5" t="inlineStr">
        <is>
          <t>P8</t>
        </is>
      </c>
      <c r="B41" s="6" t="inlineStr">
        <is>
          <t>Vulnerability scans of internet-facing systems are performed monthly, and critical findings are remediated within fifteen days.</t>
        </is>
      </c>
      <c r="C41" s="5" t="inlineStr">
        <is>
          <t>SOC2_TSC_2017</t>
        </is>
      </c>
      <c r="D41" s="5" t="inlineStr">
        <is>
          <t>CC7.1</t>
        </is>
      </c>
      <c r="E41" s="5" t="inlineStr">
        <is>
          <t>Detection of vulnerabilities</t>
        </is>
      </c>
      <c r="F41" s="7" t="inlineStr">
        <is>
          <t>full</t>
        </is>
      </c>
      <c r="G41" s="5" t="n">
        <v>0.91</v>
      </c>
      <c r="H41" s="6" t="inlineStr">
        <is>
          <t>Detects vulnerabilities via monthly scanning.</t>
        </is>
      </c>
    </row>
    <row r="42">
      <c r="A42" s="5" t="inlineStr">
        <is>
          <t>P10</t>
        </is>
      </c>
      <c r="B42" s="6" t="inlineStr">
        <is>
          <t>Backups of critical systems are taken daily, encrypted, and tested for restorability on a quarterly basis.</t>
        </is>
      </c>
      <c r="C42" s="5" t="inlineStr">
        <is>
          <t>ISO_IEC_27001_2022</t>
        </is>
      </c>
      <c r="D42" s="5" t="inlineStr">
        <is>
          <t>A.8.13</t>
        </is>
      </c>
      <c r="E42" s="5" t="inlineStr">
        <is>
          <t>Information backup</t>
        </is>
      </c>
      <c r="F42" s="7" t="inlineStr">
        <is>
          <t>full</t>
        </is>
      </c>
      <c r="G42" s="5" t="n">
        <v>0.93</v>
      </c>
      <c r="H42" s="6" t="inlineStr">
        <is>
          <t>Requires daily, tested information backups.</t>
        </is>
      </c>
    </row>
    <row r="43">
      <c r="A43" s="5" t="inlineStr">
        <is>
          <t>P10</t>
        </is>
      </c>
      <c r="B43" s="6" t="inlineStr">
        <is>
          <t>Backups of critical systems are taken daily, encrypted, and tested for restorability on a quarterly basis.</t>
        </is>
      </c>
      <c r="C43" s="5" t="inlineStr">
        <is>
          <t>NIST_SP_800-53_R5</t>
        </is>
      </c>
      <c r="D43" s="5" t="inlineStr">
        <is>
          <t>CP-10</t>
        </is>
      </c>
      <c r="E43" s="5" t="inlineStr">
        <is>
          <t>System Recovery and Reconstitution</t>
        </is>
      </c>
      <c r="F43" s="8" t="inlineStr">
        <is>
          <t>partial</t>
        </is>
      </c>
      <c r="G43" s="5" t="n">
        <v>0.72</v>
      </c>
      <c r="H43" s="6" t="inlineStr">
        <is>
          <t>Requires quarterly restorability testing.</t>
        </is>
      </c>
    </row>
    <row r="44">
      <c r="A44" s="5" t="inlineStr">
        <is>
          <t>P10</t>
        </is>
      </c>
      <c r="B44" s="6" t="inlineStr">
        <is>
          <t>Backups of critical systems are taken daily, encrypted, and tested for restorability on a quarterly basis.</t>
        </is>
      </c>
      <c r="C44" s="5" t="inlineStr">
        <is>
          <t>NIST_SP_800-53_R5</t>
        </is>
      </c>
      <c r="D44" s="5" t="inlineStr">
        <is>
          <t>CP-9</t>
        </is>
      </c>
      <c r="E44" s="5" t="inlineStr">
        <is>
          <t>System Backup</t>
        </is>
      </c>
      <c r="F44" s="7" t="inlineStr">
        <is>
          <t>full</t>
        </is>
      </c>
      <c r="G44" s="5" t="n">
        <v>0.93</v>
      </c>
      <c r="H44" s="6" t="inlineStr">
        <is>
          <t>Requires daily encrypted backups.</t>
        </is>
      </c>
    </row>
    <row r="45">
      <c r="A45" s="5" t="inlineStr">
        <is>
          <t>P10</t>
        </is>
      </c>
      <c r="B45" s="6" t="inlineStr">
        <is>
          <t>Backups of critical systems are taken daily, encrypted, and tested for restorability on a quarterly basis.</t>
        </is>
      </c>
      <c r="C45" s="5" t="inlineStr">
        <is>
          <t>SOC2_TSC_2017</t>
        </is>
      </c>
      <c r="D45" s="5" t="inlineStr">
        <is>
          <t>A1.2</t>
        </is>
      </c>
      <c r="E45" s="5" t="inlineStr">
        <is>
          <t>Backup and recovery</t>
        </is>
      </c>
      <c r="F45" s="7" t="inlineStr">
        <is>
          <t>full</t>
        </is>
      </c>
      <c r="G45" s="5" t="n">
        <v>0.92</v>
      </c>
      <c r="H45" s="6" t="inlineStr">
        <is>
          <t>Maintains tested backup and recovery processes.</t>
        </is>
      </c>
    </row>
  </sheetData>
  <autoFilter ref="A1:H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Statement ID</t>
        </is>
      </c>
      <c r="B1" s="3" t="inlineStr">
        <is>
          <t>Statement</t>
        </is>
      </c>
      <c r="C1" s="3" t="inlineStr">
        <is>
          <t>NIST_SP_800-53_R5</t>
        </is>
      </c>
      <c r="D1" s="3" t="inlineStr">
        <is>
          <t>ISO_IEC_27001_2022</t>
        </is>
      </c>
      <c r="E1" s="3" t="inlineStr">
        <is>
          <t>SOC2_TSC_2017</t>
        </is>
      </c>
    </row>
    <row r="2">
      <c r="A2" s="6" t="inlineStr">
        <is>
          <t>P1</t>
        </is>
      </c>
      <c r="B2" s="6" t="inlineStr">
        <is>
          <t>All employees must complete security awareness training within 30 days of their start date and repeat the training every twelve months.</t>
        </is>
      </c>
      <c r="C2" s="6" t="inlineStr">
        <is>
          <t>AT-2 [full]</t>
        </is>
      </c>
      <c r="D2" s="6" t="inlineStr">
        <is>
          <t>A.6.3 [full]</t>
        </is>
      </c>
      <c r="E2" s="6" t="inlineStr">
        <is>
          <t>CC1.4 [full]</t>
        </is>
      </c>
    </row>
    <row r="3">
      <c r="A3" s="6" t="inlineStr">
        <is>
          <t>P2</t>
        </is>
      </c>
      <c r="B3" s="6" t="inlineStr">
        <is>
          <t>Access to production systems is granted on a least-privilege basis. Requests must be approved by the system owner, and access rights are reviewed every quarter.</t>
        </is>
      </c>
      <c r="C3" s="6" t="inlineStr">
        <is>
          <t>AC-2 [full]; AC-6 [full]</t>
        </is>
      </c>
      <c r="D3" s="6" t="inlineStr">
        <is>
          <t>A.5.15 [full]</t>
        </is>
      </c>
      <c r="E3" s="6" t="inlineStr">
        <is>
          <t>CC6.1 [full]; CC6.2 [full]; CC6.3 [partial]</t>
        </is>
      </c>
    </row>
    <row r="4">
      <c r="A4" s="6" t="inlineStr">
        <is>
          <t>P3</t>
        </is>
      </c>
      <c r="B4" s="6" t="inlineStr">
        <is>
          <t>Multi-factor authentication is required for all remote access to the corporate network and for any access to systems holding regulated data.</t>
        </is>
      </c>
      <c r="C4" s="6" t="inlineStr">
        <is>
          <t>AC-17 [full]; IA-2 [full]</t>
        </is>
      </c>
      <c r="D4" s="6" t="inlineStr">
        <is>
          <t>A.5.17 [partial]; A.8.5 [full]</t>
        </is>
      </c>
      <c r="E4" s="6" t="inlineStr">
        <is>
          <t>CC6.1 [full]; CC6.6 [full]</t>
        </is>
      </c>
    </row>
    <row r="5">
      <c r="A5" s="6" t="inlineStr">
        <is>
          <t>P4</t>
        </is>
      </c>
      <c r="B5" s="6" t="inlineStr">
        <is>
          <t>Passwords must be at least 14 characters, are rotated at least annually, and are stored only as salted hashes. Shared credentials are prohibited.</t>
        </is>
      </c>
      <c r="C5" s="6" t="inlineStr">
        <is>
          <t>IA-5 [full]</t>
        </is>
      </c>
      <c r="D5" s="6" t="inlineStr">
        <is>
          <t>A.5.17 [full]</t>
        </is>
      </c>
      <c r="E5" s="6" t="inlineStr">
        <is>
          <t>CC6.1 [full]</t>
        </is>
      </c>
    </row>
    <row r="6">
      <c r="A6" s="6" t="inlineStr">
        <is>
          <t>P5</t>
        </is>
      </c>
      <c r="B6" s="6" t="inlineStr">
        <is>
          <t>All customer data is encrypted at rest using AES-256 and encrypted in transit using TLS 1.2 or higher.</t>
        </is>
      </c>
      <c r="C6" s="6" t="inlineStr">
        <is>
          <t>SC-13 [full]; SC-28 [full]; SC-7 [partial]</t>
        </is>
      </c>
      <c r="D6" s="6" t="inlineStr">
        <is>
          <t>A.8.20 [partial]; A.8.24 [full]</t>
        </is>
      </c>
      <c r="E6" s="6" t="inlineStr">
        <is>
          <t>C1.2 [partial]; CC6.7 [full]</t>
        </is>
      </c>
    </row>
    <row r="7">
      <c r="A7" s="6" t="inlineStr">
        <is>
          <t>P6</t>
        </is>
      </c>
      <c r="B7" s="6" t="inlineStr">
        <is>
          <t>Security-relevant logs from production systems are collected centrally, retained for at least one year, and reviewed weekly for anomalous activity.</t>
        </is>
      </c>
      <c r="C7" s="6" t="inlineStr">
        <is>
          <t>AU-2 [partial]; AU-6 [full]</t>
        </is>
      </c>
      <c r="D7" s="6" t="inlineStr">
        <is>
          <t>A.8.15 [full]; A.8.16 [partial]</t>
        </is>
      </c>
      <c r="E7" s="6" t="inlineStr">
        <is>
          <t>CC4.1 [partial]; CC7.2 [full]</t>
        </is>
      </c>
    </row>
    <row r="8">
      <c r="A8" s="6" t="inlineStr">
        <is>
          <t>P7</t>
        </is>
      </c>
      <c r="B8" s="6" t="inlineStr">
        <is>
          <t>Suspected security incidents must be reported to the security team within one hour of discovery. The team follows a documented incident response runbook.</t>
        </is>
      </c>
      <c r="C8" s="6" t="inlineStr">
        <is>
          <t>IR-6 [full]</t>
        </is>
      </c>
      <c r="D8" s="6" t="inlineStr">
        <is>
          <t>A.5.24 [full]; A.5.26 [full]</t>
        </is>
      </c>
      <c r="E8" s="6" t="inlineStr">
        <is>
          <t>CC7.3 [full]; CC7.4 [full]</t>
        </is>
      </c>
    </row>
    <row r="9">
      <c r="A9" s="6" t="inlineStr">
        <is>
          <t>P8</t>
        </is>
      </c>
      <c r="B9" s="6" t="inlineStr">
        <is>
          <t>Vulnerability scans of internet-facing systems are performed monthly, and critical findings are remediated within fifteen days.</t>
        </is>
      </c>
      <c r="C9" s="6" t="inlineStr">
        <is>
          <t>RA-5 [full]; SI-2 [partial]</t>
        </is>
      </c>
      <c r="D9" s="6" t="inlineStr">
        <is>
          <t>A.8.8 [full]</t>
        </is>
      </c>
      <c r="E9" s="6" t="inlineStr">
        <is>
          <t>CC7.1 [full]</t>
        </is>
      </c>
    </row>
    <row r="10">
      <c r="A10" s="6" t="inlineStr">
        <is>
          <t>P9</t>
        </is>
      </c>
      <c r="B10" s="6" t="inlineStr">
        <is>
          <t>The company maintains cyber liability insurance with coverage of at least five million dollars.</t>
        </is>
      </c>
      <c r="C10" s="9" t="inlineStr">
        <is>
          <t>(gap / out of scope)</t>
        </is>
      </c>
      <c r="D10" s="9" t="inlineStr">
        <is>
          <t>(gap / out of scope)</t>
        </is>
      </c>
      <c r="E10" s="9" t="inlineStr">
        <is>
          <t>(gap / out of scope)</t>
        </is>
      </c>
    </row>
    <row r="11">
      <c r="A11" s="6" t="inlineStr">
        <is>
          <t>P10</t>
        </is>
      </c>
      <c r="B11" s="6" t="inlineStr">
        <is>
          <t>Backups of critical systems are taken daily, encrypted, and tested for restorability on a quarterly basis.</t>
        </is>
      </c>
      <c r="C11" s="6" t="inlineStr">
        <is>
          <t>CP-10 [partial]; CP-9 [full]</t>
        </is>
      </c>
      <c r="D11" s="6" t="inlineStr">
        <is>
          <t>A.8.13 [full]</t>
        </is>
      </c>
      <c r="E11" s="6" t="inlineStr">
        <is>
          <t>A1.2 [full]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12" customWidth="1" min="4" max="4"/>
  </cols>
  <sheetData>
    <row r="1">
      <c r="A1" s="3" t="inlineStr">
        <is>
          <t>Framework</t>
        </is>
      </c>
      <c r="B1" s="3" t="inlineStr">
        <is>
          <t>Control ID</t>
        </is>
      </c>
      <c r="C1" s="3" t="inlineStr">
        <is>
          <t>Control Title</t>
        </is>
      </c>
      <c r="D1" s="3" t="inlineStr">
        <is>
          <t>Status</t>
        </is>
      </c>
    </row>
    <row r="2">
      <c r="A2" s="10" t="inlineStr">
        <is>
          <t>NIST_SP_800-53_R5</t>
        </is>
      </c>
      <c r="B2" s="10" t="inlineStr">
        <is>
          <t>AC-3</t>
        </is>
      </c>
      <c r="C2" s="10" t="inlineStr">
        <is>
          <t>Access Enforcement</t>
        </is>
      </c>
      <c r="D2" s="10" t="inlineStr">
        <is>
          <t>uncovered</t>
        </is>
      </c>
    </row>
    <row r="3">
      <c r="A3" s="10" t="inlineStr">
        <is>
          <t>NIST_SP_800-53_R5</t>
        </is>
      </c>
      <c r="B3" s="10" t="inlineStr">
        <is>
          <t>CM-2</t>
        </is>
      </c>
      <c r="C3" s="10" t="inlineStr">
        <is>
          <t>Baseline Configuration</t>
        </is>
      </c>
      <c r="D3" s="10" t="inlineStr">
        <is>
          <t>uncovered</t>
        </is>
      </c>
    </row>
    <row r="4">
      <c r="A4" s="10" t="inlineStr">
        <is>
          <t>NIST_SP_800-53_R5</t>
        </is>
      </c>
      <c r="B4" s="10" t="inlineStr">
        <is>
          <t>CM-8</t>
        </is>
      </c>
      <c r="C4" s="10" t="inlineStr">
        <is>
          <t>System Component Inventory</t>
        </is>
      </c>
      <c r="D4" s="10" t="inlineStr">
        <is>
          <t>uncovered</t>
        </is>
      </c>
    </row>
    <row r="5">
      <c r="A5" s="10" t="inlineStr">
        <is>
          <t>NIST_SP_800-53_R5</t>
        </is>
      </c>
      <c r="B5" s="10" t="inlineStr">
        <is>
          <t>IR-4</t>
        </is>
      </c>
      <c r="C5" s="10" t="inlineStr">
        <is>
          <t>Incident Handling</t>
        </is>
      </c>
      <c r="D5" s="10" t="inlineStr">
        <is>
          <t>uncovered</t>
        </is>
      </c>
    </row>
    <row r="6">
      <c r="A6" s="10" t="inlineStr">
        <is>
          <t>NIST_SP_800-53_R5</t>
        </is>
      </c>
      <c r="B6" s="10" t="inlineStr">
        <is>
          <t>SI-4</t>
        </is>
      </c>
      <c r="C6" s="10" t="inlineStr">
        <is>
          <t>System Monitoring</t>
        </is>
      </c>
      <c r="D6" s="10" t="inlineStr">
        <is>
          <t>uncovered</t>
        </is>
      </c>
    </row>
    <row r="7">
      <c r="A7" s="10" t="inlineStr">
        <is>
          <t>ISO_IEC_27001_2022</t>
        </is>
      </c>
      <c r="B7" s="10" t="inlineStr">
        <is>
          <t>A.5.1</t>
        </is>
      </c>
      <c r="C7" s="10" t="inlineStr">
        <is>
          <t>Policies for information security</t>
        </is>
      </c>
      <c r="D7" s="10" t="inlineStr">
        <is>
          <t>uncovered</t>
        </is>
      </c>
    </row>
    <row r="8">
      <c r="A8" s="10" t="inlineStr">
        <is>
          <t>ISO_IEC_27001_2022</t>
        </is>
      </c>
      <c r="B8" s="10" t="inlineStr">
        <is>
          <t>A.5.7</t>
        </is>
      </c>
      <c r="C8" s="10" t="inlineStr">
        <is>
          <t>Threat intelligence</t>
        </is>
      </c>
      <c r="D8" s="10" t="inlineStr">
        <is>
          <t>uncovered</t>
        </is>
      </c>
    </row>
    <row r="9">
      <c r="A9" s="10" t="inlineStr">
        <is>
          <t>ISO_IEC_27001_2022</t>
        </is>
      </c>
      <c r="B9" s="10" t="inlineStr">
        <is>
          <t>A.5.9</t>
        </is>
      </c>
      <c r="C9" s="10" t="inlineStr">
        <is>
          <t>Inventory of information and other associated assets</t>
        </is>
      </c>
      <c r="D9" s="10" t="inlineStr">
        <is>
          <t>uncovered</t>
        </is>
      </c>
    </row>
    <row r="10">
      <c r="A10" s="10" t="inlineStr">
        <is>
          <t>ISO_IEC_27001_2022</t>
        </is>
      </c>
      <c r="B10" s="10" t="inlineStr">
        <is>
          <t>A.5.16</t>
        </is>
      </c>
      <c r="C10" s="10" t="inlineStr">
        <is>
          <t>Identity management</t>
        </is>
      </c>
      <c r="D10" s="10" t="inlineStr">
        <is>
          <t>uncovered</t>
        </is>
      </c>
    </row>
    <row r="11">
      <c r="A11" s="10" t="inlineStr">
        <is>
          <t>ISO_IEC_27001_2022</t>
        </is>
      </c>
      <c r="B11" s="10" t="inlineStr">
        <is>
          <t>A.5.18</t>
        </is>
      </c>
      <c r="C11" s="10" t="inlineStr">
        <is>
          <t>Access rights</t>
        </is>
      </c>
      <c r="D11" s="10" t="inlineStr">
        <is>
          <t>uncovered</t>
        </is>
      </c>
    </row>
    <row r="12">
      <c r="A12" s="10" t="inlineStr">
        <is>
          <t>ISO_IEC_27001_2022</t>
        </is>
      </c>
      <c r="B12" s="10" t="inlineStr">
        <is>
          <t>A.5.23</t>
        </is>
      </c>
      <c r="C12" s="10" t="inlineStr">
        <is>
          <t>Information security for use of cloud services</t>
        </is>
      </c>
      <c r="D12" s="10" t="inlineStr">
        <is>
          <t>uncovered</t>
        </is>
      </c>
    </row>
    <row r="13">
      <c r="A13" s="10" t="inlineStr">
        <is>
          <t>ISO_IEC_27001_2022</t>
        </is>
      </c>
      <c r="B13" s="10" t="inlineStr">
        <is>
          <t>A.5.30</t>
        </is>
      </c>
      <c r="C13" s="10" t="inlineStr">
        <is>
          <t>ICT readiness for business continuity</t>
        </is>
      </c>
      <c r="D13" s="10" t="inlineStr">
        <is>
          <t>uncovered</t>
        </is>
      </c>
    </row>
    <row r="14">
      <c r="A14" s="10" t="inlineStr">
        <is>
          <t>ISO_IEC_27001_2022</t>
        </is>
      </c>
      <c r="B14" s="10" t="inlineStr">
        <is>
          <t>A.7.4</t>
        </is>
      </c>
      <c r="C14" s="10" t="inlineStr">
        <is>
          <t>Physical security monitoring</t>
        </is>
      </c>
      <c r="D14" s="10" t="inlineStr">
        <is>
          <t>uncovered</t>
        </is>
      </c>
    </row>
    <row r="15">
      <c r="A15" s="10" t="inlineStr">
        <is>
          <t>ISO_IEC_27001_2022</t>
        </is>
      </c>
      <c r="B15" s="10" t="inlineStr">
        <is>
          <t>A.8.7</t>
        </is>
      </c>
      <c r="C15" s="10" t="inlineStr">
        <is>
          <t>Protection against malware</t>
        </is>
      </c>
      <c r="D15" s="10" t="inlineStr">
        <is>
          <t>uncovered</t>
        </is>
      </c>
    </row>
    <row r="16">
      <c r="A16" s="10" t="inlineStr">
        <is>
          <t>SOC2_TSC_2017</t>
        </is>
      </c>
      <c r="B16" s="10" t="inlineStr">
        <is>
          <t>CC2.2</t>
        </is>
      </c>
      <c r="C16" s="10" t="inlineStr">
        <is>
          <t>Internal communication</t>
        </is>
      </c>
      <c r="D16" s="10" t="inlineStr">
        <is>
          <t>uncovered</t>
        </is>
      </c>
    </row>
    <row r="17">
      <c r="A17" s="10" t="inlineStr">
        <is>
          <t>SOC2_TSC_2017</t>
        </is>
      </c>
      <c r="B17" s="10" t="inlineStr">
        <is>
          <t>CC2.3</t>
        </is>
      </c>
      <c r="C17" s="10" t="inlineStr">
        <is>
          <t>External communication</t>
        </is>
      </c>
      <c r="D17" s="10" t="inlineStr">
        <is>
          <t>uncovered</t>
        </is>
      </c>
    </row>
    <row r="18">
      <c r="A18" s="10" t="inlineStr">
        <is>
          <t>SOC2_TSC_2017</t>
        </is>
      </c>
      <c r="B18" s="10" t="inlineStr">
        <is>
          <t>CC3.2</t>
        </is>
      </c>
      <c r="C18" s="10" t="inlineStr">
        <is>
          <t>Risk identification and analysis</t>
        </is>
      </c>
      <c r="D18" s="10" t="inlineStr">
        <is>
          <t>uncovered</t>
        </is>
      </c>
    </row>
    <row r="19">
      <c r="A19" s="10" t="inlineStr">
        <is>
          <t>SOC2_TSC_2017</t>
        </is>
      </c>
      <c r="B19" s="10" t="inlineStr">
        <is>
          <t>CC5.2</t>
        </is>
      </c>
      <c r="C19" s="10" t="inlineStr">
        <is>
          <t>Technology general controls</t>
        </is>
      </c>
      <c r="D19" s="10" t="inlineStr">
        <is>
          <t>uncovered</t>
        </is>
      </c>
    </row>
    <row r="20">
      <c r="A20" s="10" t="inlineStr">
        <is>
          <t>SOC2_TSC_2017</t>
        </is>
      </c>
      <c r="B20" s="10" t="inlineStr">
        <is>
          <t>CC6.8</t>
        </is>
      </c>
      <c r="C20" s="10" t="inlineStr">
        <is>
          <t>Prevention and detection of unauthorized software</t>
        </is>
      </c>
      <c r="D20" s="10" t="inlineStr">
        <is>
          <t>uncovered</t>
        </is>
      </c>
    </row>
    <row r="21">
      <c r="A21" s="10" t="inlineStr">
        <is>
          <t>SOC2_TSC_2017</t>
        </is>
      </c>
      <c r="B21" s="10" t="inlineStr">
        <is>
          <t>CC8.1</t>
        </is>
      </c>
      <c r="C21" s="10" t="inlineStr">
        <is>
          <t>Change management</t>
        </is>
      </c>
      <c r="D21" s="10" t="inlineStr">
        <is>
          <t>uncovered</t>
        </is>
      </c>
    </row>
    <row r="22">
      <c r="A22" s="10" t="inlineStr">
        <is>
          <t>SOC2_TSC_2017</t>
        </is>
      </c>
      <c r="B22" s="10" t="inlineStr">
        <is>
          <t>CC9.1</t>
        </is>
      </c>
      <c r="C22" s="10" t="inlineStr">
        <is>
          <t>Risk mitigation activities</t>
        </is>
      </c>
      <c r="D22" s="10" t="inlineStr">
        <is>
          <t>uncovered</t>
        </is>
      </c>
    </row>
    <row r="23">
      <c r="A23" s="10" t="inlineStr">
        <is>
          <t>SOC2_TSC_2017</t>
        </is>
      </c>
      <c r="B23" s="10" t="inlineStr">
        <is>
          <t>C1.1</t>
        </is>
      </c>
      <c r="C23" s="10" t="inlineStr">
        <is>
          <t>Identification of confidential information</t>
        </is>
      </c>
      <c r="D23" s="10" t="inlineStr">
        <is>
          <t>uncovered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2026-06-02T08:16:39Z</dcterms:created>
  <dcterms:modified xsi:type="dcterms:W3CDTF">2026-06-02T08:16:39Z</dcterms:modified>
</cp:coreProperties>
</file>